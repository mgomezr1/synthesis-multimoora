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Criterios" sheetId="2" r:id="rId2"/>
    <sheet name="Matriz" sheetId="3" r:id="rId3"/>
    <sheet name="Normalizacion" sheetId="4" r:id="rId4"/>
    <sheet name="Razones" sheetId="5" r:id="rId5"/>
    <sheet name="Referencia" sheetId="6" r:id="rId6"/>
    <sheet name="Multiplicativa" sheetId="7" r:id="rId7"/>
    <sheet name="Dominancia" sheetId="8" r:id="rId8"/>
    <sheet name="Resultad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00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8.83203125" customWidth="1"/>
    <col min="2" max="2" width="96.83203125" customWidth="1"/>
  </cols>
  <sheetData>
    <row r="1">
      <c r="A1" t="str">
        <v>Sýnthesis MULTIMOORA</v>
      </c>
    </row>
    <row r="2">
      <c r="A2" t="str">
        <v>Resultados del método MULTIMOORA</v>
      </c>
    </row>
    <row r="4">
      <c r="A4" t="str">
        <v>Objetivo</v>
      </c>
      <c r="B4" t="str">
        <v>[Datos de prueba] Seleccionar el proyecto de inversión más conveniente</v>
      </c>
    </row>
    <row r="5">
      <c r="A5" t="str">
        <v>Origen de los datos</v>
      </c>
      <c r="B5" t="str">
        <v>Datos de prueba generados por la aplicación, escenario «Prueba 2: selección de proyecto de inversión (4 × 4)»; son ficticios</v>
      </c>
    </row>
    <row r="6">
      <c r="A6" t="str">
        <v>Origen de los pesos</v>
      </c>
      <c r="B6" t="str">
        <v>Digitados por el usuario</v>
      </c>
    </row>
    <row r="7">
      <c r="A7" t="str">
        <v>Fecha del cálculo</v>
      </c>
      <c r="B7" t="str">
        <v>10/10/2026, 8:06:15 a. m.</v>
      </c>
    </row>
    <row r="8">
      <c r="A8" t="str">
        <v>Número de criterios</v>
      </c>
      <c r="B8" s="1">
        <v>4</v>
      </c>
    </row>
    <row r="9">
      <c r="A9" t="str">
        <v>Número de alternativas</v>
      </c>
      <c r="B9" s="1">
        <v>4</v>
      </c>
    </row>
    <row r="10">
      <c r="A10" t="str">
        <v>Primera alternativa en la síntesis por dominancia</v>
      </c>
      <c r="B10" t="str">
        <v>Proyecto Logístico</v>
      </c>
    </row>
    <row r="11">
      <c r="A11" t="str">
        <v>Métodos que la ubican en el primer lugar (de 3)</v>
      </c>
      <c r="B11" s="1">
        <v>1</v>
      </c>
    </row>
    <row r="12">
      <c r="A12" t="str">
        <v>Borda confirma el primer lugar</v>
      </c>
      <c r="B12" t="str">
        <v>Sí</v>
      </c>
    </row>
    <row r="13">
      <c r="A13" t="str">
        <v>Pares con razonamiento circular</v>
      </c>
      <c r="B13" s="1">
        <v>0</v>
      </c>
    </row>
    <row r="15">
      <c r="A15" t="str">
        <v>Contenido del libro</v>
      </c>
    </row>
    <row r="16">
      <c r="A16" t="str">
        <v>Hoja</v>
      </c>
      <c r="B16" t="str">
        <v>Contenido</v>
      </c>
    </row>
    <row r="17">
      <c r="A17" t="str">
        <v>Criterios</v>
      </c>
      <c r="B17" t="str">
        <v>Sentido, signo y peso de cada criterio</v>
      </c>
    </row>
    <row r="18">
      <c r="A18" t="str">
        <v>Matriz</v>
      </c>
      <c r="B18" t="str">
        <v>Matriz de decisión en unidades originales</v>
      </c>
    </row>
    <row r="19">
      <c r="A19" t="str">
        <v>Normalizacion</v>
      </c>
      <c r="B19" t="str">
        <v>Normalización vectorial: cada valor dividido por la raíz de la suma de cuadrados de su columna</v>
      </c>
    </row>
    <row r="20">
      <c r="A20" t="str">
        <v>Razones</v>
      </c>
      <c r="B20" t="str">
        <v>Sistema de razones: aportes ponderados con signo, y, posición</v>
      </c>
    </row>
    <row r="21">
      <c r="A21" t="str">
        <v>Referencia</v>
      </c>
      <c r="B21" t="str">
        <v>Punto de referencia: desviaciones ponderadas, z, posición</v>
      </c>
    </row>
    <row r="22">
      <c r="A22" t="str">
        <v>Multiplicativa</v>
      </c>
      <c r="B22" t="str">
        <v>Forma multiplicativa completa: factores, U, posición</v>
      </c>
    </row>
    <row r="23">
      <c r="A23" t="str">
        <v>Dominancia</v>
      </c>
      <c r="B23" t="str">
        <v>Comparación por pares entre los tres métodos, puntaje y posición final</v>
      </c>
    </row>
    <row r="24">
      <c r="A24" t="str">
        <v>Resultado</v>
      </c>
      <c r="B24" t="str">
        <v>Clasificación final, contraste de Borda e indicadores de acuerdo</v>
      </c>
    </row>
    <row r="26">
      <c r="A26" t="str">
        <v>Software</v>
      </c>
      <c r="B26" t="str">
        <v>Sýnthesis MULTIMOORA versión 1.0</v>
      </c>
    </row>
    <row r="27">
      <c r="A27" t="str">
        <v>Autor</v>
      </c>
      <c r="B27" t="str">
        <v>Mario Sergio Gómez Rueda</v>
      </c>
    </row>
    <row r="28">
      <c r="A28" t="str">
        <v>Contacto</v>
      </c>
      <c r="B28" t="str">
        <v>mgomezr1@gmail.com</v>
      </c>
    </row>
    <row r="29">
      <c r="A29" t="str">
        <v>Nota</v>
      </c>
      <c r="B29" t="str">
        <v>Este aplicativo fue desarrollado por Mario Sergio Gómez Rueda. Su uso es de carácter académico y cualquier otro uso se regirá por el derecho de la propiedad intelectual. Sugerencias o dudas: mgomezr1@gmail.com</v>
      </c>
    </row>
    <row r="30">
      <c r="A30" t="str">
        <v>Advertencia</v>
      </c>
      <c r="B30" t="str">
        <v>Datos de prueba generados por la aplicación; son ficticios y no representan una decisión real.</v>
      </c>
    </row>
  </sheetData>
  <hyperlinks>
    <hyperlink ref="A17" location="'Criterios'!A1" tooltip="Ir a la hoja"/>
    <hyperlink ref="A18" location="'Matriz'!A1" tooltip="Ir a la hoja"/>
    <hyperlink ref="A19" location="'Normalizacion'!A1" tooltip="Ir a la hoja"/>
    <hyperlink ref="A20" location="'Razones'!A1" tooltip="Ir a la hoja"/>
    <hyperlink ref="A21" location="'Referencia'!A1" tooltip="Ir a la hoja"/>
    <hyperlink ref="A22" location="'Multiplicativa'!A1" tooltip="Ir a la hoja"/>
    <hyperlink ref="A23" location="'Dominancia'!A1" tooltip="Ir a la hoja"/>
    <hyperlink ref="A24" location="'Resultado'!A1" tooltip="Ir a la hoja"/>
  </hyperlinks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5.83203125" customWidth="1"/>
    <col min="2" max="2" width="30.83203125" customWidth="1"/>
    <col min="3" max="3" width="14.83203125" customWidth="1"/>
    <col min="4" max="4" width="14.83203125" customWidth="1"/>
    <col min="5" max="5" width="8.83203125" customWidth="1"/>
    <col min="6" max="6" width="12.83203125" customWidth="1"/>
  </cols>
  <sheetData>
    <row r="1">
      <c r="A1" t="str">
        <v>Criterios, sentido y pesos</v>
      </c>
    </row>
    <row r="2">
      <c r="A2" t="str">
        <v>Volver al menú</v>
      </c>
    </row>
    <row r="4">
      <c r="A4" t="str">
        <v>#</v>
      </c>
      <c r="B4" t="str">
        <v>Criterio</v>
      </c>
      <c r="C4" t="str">
        <v>Unidad</v>
      </c>
      <c r="D4" t="str">
        <v>Sentido</v>
      </c>
      <c r="E4" t="str">
        <v>Signo</v>
      </c>
      <c r="F4" t="str">
        <v>Peso</v>
      </c>
    </row>
    <row r="5">
      <c r="A5" s="1">
        <v>1</v>
      </c>
      <c r="B5" t="str">
        <v>VPN</v>
      </c>
      <c r="C5" t="str">
        <v>millones COP</v>
      </c>
      <c r="D5" t="str">
        <v>Maximizar</v>
      </c>
      <c r="E5" s="1">
        <f>IF(D5="Minimizar",-1,1)</f>
        <v>1</v>
      </c>
      <c r="F5" s="2">
        <v>0.35</v>
      </c>
    </row>
    <row r="6">
      <c r="A6" s="1">
        <v>2</v>
      </c>
      <c r="B6" t="str">
        <v>TIR</v>
      </c>
      <c r="C6" t="str">
        <v>%</v>
      </c>
      <c r="D6" t="str">
        <v>Maximizar</v>
      </c>
      <c r="E6" s="1">
        <f>IF(D6="Minimizar",-1,1)</f>
        <v>1</v>
      </c>
      <c r="F6" s="2">
        <v>0.25</v>
      </c>
    </row>
    <row r="7">
      <c r="A7" s="1">
        <v>3</v>
      </c>
      <c r="B7" t="str">
        <v>Plazo de recuperación</v>
      </c>
      <c r="C7" t="str">
        <v>años</v>
      </c>
      <c r="D7" t="str">
        <v>Minimizar</v>
      </c>
      <c r="E7" s="1">
        <f>IF(D7="Minimizar",-1,1)</f>
        <v>-1</v>
      </c>
      <c r="F7" s="2">
        <v>0.2</v>
      </c>
    </row>
    <row r="8">
      <c r="A8" s="1">
        <v>4</v>
      </c>
      <c r="B8" t="str">
        <v>Riesgo</v>
      </c>
      <c r="C8" t="str">
        <v>escala de 1 a 10</v>
      </c>
      <c r="D8" t="str">
        <v>Minimizar</v>
      </c>
      <c r="E8" s="1">
        <f>IF(D8="Minimizar",-1,1)</f>
        <v>-1</v>
      </c>
      <c r="F8" s="2">
        <v>0.2</v>
      </c>
    </row>
    <row r="9">
      <c r="B9" t="str">
        <v>Suma de pesos</v>
      </c>
      <c r="F9" s="2">
        <f>SUM(F5:F8)</f>
        <v>1</v>
      </c>
    </row>
    <row r="11">
      <c r="A11" t="str">
        <v>Los pesos fueron digitados por el usuario. Puede cambiarlos aquí y todo el libro se recalcula, salvo la hoja Dominancia, que depende de las posiciones.</v>
      </c>
    </row>
    <row r="12">
      <c r="A12" t="str">
        <v>El signo vale 1 si el criterio se maximiza y −1 si se minimiza. Las hojas de cada método lo usan para sumar o restar, y como signo del exponente.</v>
      </c>
    </row>
  </sheetData>
  <hyperlinks>
    <hyperlink ref="A2" location="'Menu'!A1" tooltip="Ir al menú"/>
  </hyperlinks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27.83203125" customWidth="1"/>
    <col min="5" max="5" width="14.83203125" customWidth="1"/>
  </cols>
  <sheetData>
    <row r="1">
      <c r="A1" t="str">
        <v>Matriz de decisión</v>
      </c>
    </row>
    <row r="2">
      <c r="A2" t="str">
        <v>Volver al menú</v>
      </c>
    </row>
    <row r="4">
      <c r="A4" t="str">
        <v>Alternativa</v>
      </c>
      <c r="B4" t="str">
        <v>VPN (millones COP)</v>
      </c>
      <c r="C4" t="str">
        <v>TIR (%)</v>
      </c>
      <c r="D4" t="str">
        <v>Plazo de recuperación (años)</v>
      </c>
      <c r="E4" t="str">
        <v>Riesgo (escala de 1 a 10)</v>
      </c>
    </row>
    <row r="5">
      <c r="A5" t="str">
        <v>Proyecto Solar</v>
      </c>
      <c r="B5">
        <v>850</v>
      </c>
      <c r="C5">
        <v>18</v>
      </c>
      <c r="D5">
        <v>4.5</v>
      </c>
      <c r="E5">
        <v>6</v>
      </c>
    </row>
    <row r="6">
      <c r="A6" t="str">
        <v>Proyecto Logístico</v>
      </c>
      <c r="B6">
        <v>620</v>
      </c>
      <c r="C6">
        <v>14</v>
      </c>
      <c r="D6">
        <v>3.2</v>
      </c>
      <c r="E6">
        <v>3</v>
      </c>
    </row>
    <row r="7">
      <c r="A7" t="str">
        <v>Proyecto Digital</v>
      </c>
      <c r="B7">
        <v>980</v>
      </c>
      <c r="C7">
        <v>23</v>
      </c>
      <c r="D7">
        <v>5.5</v>
      </c>
      <c r="E7">
        <v>8</v>
      </c>
    </row>
    <row r="8">
      <c r="A8" t="str">
        <v>Proyecto Inmobiliario</v>
      </c>
      <c r="B8">
        <v>540</v>
      </c>
      <c r="C8">
        <v>11</v>
      </c>
      <c r="D8">
        <v>6</v>
      </c>
      <c r="E8">
        <v>2</v>
      </c>
    </row>
    <row r="10">
      <c r="A10" t="str">
        <v>Valores en la unidad original de cada criterio. Todos deben ser mayores que cero.</v>
      </c>
    </row>
  </sheetData>
  <hyperlinks>
    <hyperlink ref="A2" location="'Menu'!A1" tooltip="Ir al menú"/>
  </hyperlinks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Normalización vectorial: x* = x / raíz(suma de cuadrados de la columna)</v>
      </c>
    </row>
    <row r="2">
      <c r="A2" t="str">
        <v>Volver al menú</v>
      </c>
    </row>
    <row r="4">
      <c r="A4" t="str">
        <v>Alternativa</v>
      </c>
      <c r="B4" t="str">
        <v>VPN</v>
      </c>
      <c r="C4" t="str">
        <v>TIR</v>
      </c>
      <c r="D4" t="str">
        <v>Plazo de recuperación</v>
      </c>
      <c r="E4" t="str">
        <v>Riesgo</v>
      </c>
    </row>
    <row r="5">
      <c r="A5" t="str">
        <v>Raíz de la suma de cuadrados</v>
      </c>
      <c r="B5" s="3">
        <f>SQRT(SUMSQ('Matriz'!$B$5:$B$8))</f>
        <v>1535.8710883404244</v>
      </c>
      <c r="C5" s="3">
        <f>SQRT(SUMSQ('Matriz'!$C$5:$C$8))</f>
        <v>34.20526275297414</v>
      </c>
      <c r="D5" s="3">
        <f>SQRT(SUMSQ('Matriz'!$D$5:$D$8))</f>
        <v>9.835649444749443</v>
      </c>
      <c r="E5" s="3">
        <f>SQRT(SUMSQ('Matriz'!$E$5:$E$8))</f>
        <v>10.63014581273465</v>
      </c>
    </row>
    <row r="6">
      <c r="A6" t="str">
        <v>Proyecto Solar</v>
      </c>
      <c r="B6" s="3">
        <f>'Matriz'!B5/B$5</f>
        <v>0.5534318644662177</v>
      </c>
      <c r="C6" s="3">
        <f>'Matriz'!C5/C$5</f>
        <v>0.5262348115842175</v>
      </c>
      <c r="D6" s="3">
        <f>'Matriz'!D5/D$5</f>
        <v>0.45751935601997606</v>
      </c>
      <c r="E6" s="3">
        <f>'Matriz'!E5/E$5</f>
        <v>0.5644325210301584</v>
      </c>
    </row>
    <row r="7">
      <c r="A7" t="str">
        <v>Proyecto Logístico</v>
      </c>
      <c r="B7" s="3">
        <f>'Matriz'!B6/B$5</f>
        <v>0.40367971290477056</v>
      </c>
      <c r="C7" s="3">
        <f>'Matriz'!C6/C$5</f>
        <v>0.40929374234328025</v>
      </c>
      <c r="D7" s="3">
        <f>'Matriz'!D6/D$5</f>
        <v>0.3253470976142052</v>
      </c>
      <c r="E7" s="3">
        <f>'Matriz'!E6/E$5</f>
        <v>0.2822162605150792</v>
      </c>
    </row>
    <row r="8">
      <c r="A8" t="str">
        <v>Proyecto Digital</v>
      </c>
      <c r="B8" s="3">
        <f>'Matriz'!B7/B$5</f>
        <v>0.6380743849139922</v>
      </c>
      <c r="C8" s="3">
        <f>'Matriz'!C7/C$5</f>
        <v>0.672411148135389</v>
      </c>
      <c r="D8" s="3">
        <f>'Matriz'!D7/D$5</f>
        <v>0.5591903240244152</v>
      </c>
      <c r="E8" s="3">
        <f>'Matriz'!E7/E$5</f>
        <v>0.7525766947068778</v>
      </c>
    </row>
    <row r="9">
      <c r="A9" t="str">
        <v>Proyecto Inmobiliario</v>
      </c>
      <c r="B9" s="3">
        <f>'Matriz'!B8/B$5</f>
        <v>0.3515920080138324</v>
      </c>
      <c r="C9" s="3">
        <f>'Matriz'!C8/C$5</f>
        <v>0.3215879404125773</v>
      </c>
      <c r="D9" s="3">
        <f>'Matriz'!D8/D$5</f>
        <v>0.6100258080266348</v>
      </c>
      <c r="E9" s="3">
        <f>'Matriz'!E8/E$5</f>
        <v>0.18814417367671946</v>
      </c>
    </row>
    <row r="11">
      <c r="A11" t="str">
        <v>Los valores normalizados no tienen unidades. Los tres métodos parten de esta matriz.</v>
      </c>
    </row>
  </sheetData>
  <hyperlinks>
    <hyperlink ref="A2" location="'Menu'!A1" tooltip="Ir al menú"/>
  </hyperlinks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0.83203125" customWidth="1"/>
  </cols>
  <sheetData>
    <row r="1">
      <c r="A1" t="str">
        <v>Sistema de razones: y = suma de (signo × peso × valor normalizado)</v>
      </c>
    </row>
    <row r="2">
      <c r="A2" t="str">
        <v>Volver al menú</v>
      </c>
    </row>
    <row r="4">
      <c r="A4" t="str">
        <v>Alternativa</v>
      </c>
      <c r="B4" t="str">
        <v>VPN</v>
      </c>
      <c r="C4" t="str">
        <v>TIR</v>
      </c>
      <c r="D4" t="str">
        <v>Plazo de recuperación</v>
      </c>
      <c r="E4" t="str">
        <v>Riesgo</v>
      </c>
      <c r="F4" t="str">
        <v>y</v>
      </c>
      <c r="G4" t="str">
        <v>Posición</v>
      </c>
    </row>
    <row r="5">
      <c r="A5" t="str">
        <v>Signo × peso</v>
      </c>
      <c r="B5" s="2">
        <f>'Criterios'!E5*'Criterios'!F5</f>
        <v>0.35</v>
      </c>
      <c r="C5" s="2">
        <f>'Criterios'!E6*'Criterios'!F6</f>
        <v>0.25</v>
      </c>
      <c r="D5" s="2">
        <f>'Criterios'!E7*'Criterios'!F7</f>
        <v>-0.2</v>
      </c>
      <c r="E5" s="2">
        <f>'Criterios'!E8*'Criterios'!F8</f>
        <v>-0.2</v>
      </c>
    </row>
    <row r="6">
      <c r="A6" t="str">
        <v>Proyecto Solar</v>
      </c>
      <c r="B6" s="3">
        <f>B$5*'Normalizacion'!B6</f>
        <v>0.1937011525631762</v>
      </c>
      <c r="C6" s="3">
        <f>C$5*'Normalizacion'!C6</f>
        <v>0.13155870289605437</v>
      </c>
      <c r="D6" s="3">
        <f>D$5*'Normalizacion'!D6</f>
        <v>-0.09150387120399522</v>
      </c>
      <c r="E6" s="3">
        <f>E$5*'Normalizacion'!E6</f>
        <v>-0.11288650420603169</v>
      </c>
      <c r="F6" s="3">
        <f>SUM(B6:E6)</f>
        <v>0.12086948004920361</v>
      </c>
      <c r="G6" s="1">
        <f>RANK(F6,$F$6:$F$9,0)</f>
        <v>3</v>
      </c>
    </row>
    <row r="7">
      <c r="A7" t="str">
        <v>Proyecto Logístico</v>
      </c>
      <c r="B7" s="3">
        <f>B$5*'Normalizacion'!B7</f>
        <v>0.14128789951666967</v>
      </c>
      <c r="C7" s="3">
        <f>C$5*'Normalizacion'!C7</f>
        <v>0.10232343558582006</v>
      </c>
      <c r="D7" s="3">
        <f>D$5*'Normalizacion'!D7</f>
        <v>-0.06506941952284105</v>
      </c>
      <c r="E7" s="3">
        <f>E$5*'Normalizacion'!E7</f>
        <v>-0.056443252103015845</v>
      </c>
      <c r="F7" s="3">
        <f>SUM(B7:E7)</f>
        <v>0.12209866347663281</v>
      </c>
      <c r="G7" s="1">
        <f>RANK(F7,$F$6:$F$9,0)</f>
        <v>2</v>
      </c>
    </row>
    <row r="8">
      <c r="A8" t="str">
        <v>Proyecto Digital</v>
      </c>
      <c r="B8" s="3">
        <f>B$5*'Normalizacion'!B8</f>
        <v>0.22332603471989723</v>
      </c>
      <c r="C8" s="3">
        <f>C$5*'Normalizacion'!C8</f>
        <v>0.16810278703384726</v>
      </c>
      <c r="D8" s="3">
        <f>D$5*'Normalizacion'!D8</f>
        <v>-0.11183806480488304</v>
      </c>
      <c r="E8" s="3">
        <f>E$5*'Normalizacion'!E8</f>
        <v>-0.1505153389413756</v>
      </c>
      <c r="F8" s="3">
        <f>SUM(B8:E8)</f>
        <v>0.1290754180074859</v>
      </c>
      <c r="G8" s="1">
        <f>RANK(F8,$F$6:$F$9,0)</f>
        <v>1</v>
      </c>
    </row>
    <row r="9">
      <c r="A9" t="str">
        <v>Proyecto Inmobiliario</v>
      </c>
      <c r="B9" s="3">
        <f>B$5*'Normalizacion'!B9</f>
        <v>0.12305720280484132</v>
      </c>
      <c r="C9" s="3">
        <f>C$5*'Normalizacion'!C9</f>
        <v>0.08039698510314433</v>
      </c>
      <c r="D9" s="3">
        <f>D$5*'Normalizacion'!D9</f>
        <v>-0.12200516160532696</v>
      </c>
      <c r="E9" s="3">
        <f>E$5*'Normalizacion'!E9</f>
        <v>-0.0376288347353439</v>
      </c>
      <c r="F9" s="3">
        <f>SUM(B9:E9)</f>
        <v>0.04382019156731479</v>
      </c>
      <c r="G9" s="1">
        <f>RANK(F9,$F$6:$F$9,0)</f>
        <v>4</v>
      </c>
    </row>
    <row r="11">
      <c r="A11" t="str">
        <v>Mayor y es mejor. Los criterios que se minimizan aportan con signo negativo.</v>
      </c>
    </row>
  </sheetData>
  <hyperlinks>
    <hyperlink ref="A2" location="'Menu'!A1" tooltip="Ir al menú"/>
  </hyperlinks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4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0.83203125" customWidth="1"/>
  </cols>
  <sheetData>
    <row r="1">
      <c r="A1" t="str">
        <v>Punto de referencia: z = máximo de peso × |r − valor normalizado|</v>
      </c>
    </row>
    <row r="2">
      <c r="A2" t="str">
        <v>Volver al menú</v>
      </c>
    </row>
    <row r="4">
      <c r="A4" t="str">
        <v>Alternativa</v>
      </c>
      <c r="B4" t="str">
        <v>VPN</v>
      </c>
      <c r="C4" t="str">
        <v>TIR</v>
      </c>
      <c r="D4" t="str">
        <v>Plazo de recuperación</v>
      </c>
      <c r="E4" t="str">
        <v>Riesgo</v>
      </c>
      <c r="F4" t="str">
        <v>z</v>
      </c>
      <c r="G4" t="str">
        <v>Posición</v>
      </c>
    </row>
    <row r="5">
      <c r="A5" t="str">
        <v>Peso</v>
      </c>
      <c r="B5" s="2">
        <f>'Criterios'!F5</f>
        <v>0.35</v>
      </c>
      <c r="C5" s="2">
        <f>'Criterios'!F6</f>
        <v>0.25</v>
      </c>
      <c r="D5" s="2">
        <f>'Criterios'!F7</f>
        <v>0.2</v>
      </c>
      <c r="E5" s="2">
        <f>'Criterios'!F8</f>
        <v>0.2</v>
      </c>
    </row>
    <row r="6">
      <c r="A6" t="str">
        <v>Punto de referencia r (mejor valor normalizado)</v>
      </c>
      <c r="B6" s="3">
        <f>IF('Criterios'!E5&lt;0,MIN('Normalizacion'!$B$6:$B$9),MAX('Normalizacion'!$B$6:$B$9))</f>
        <v>0.6380743849139922</v>
      </c>
      <c r="C6" s="3">
        <f>IF('Criterios'!E6&lt;0,MIN('Normalizacion'!$C$6:$C$9),MAX('Normalizacion'!$C$6:$C$9))</f>
        <v>0.672411148135389</v>
      </c>
      <c r="D6" s="3">
        <f>IF('Criterios'!E7&lt;0,MIN('Normalizacion'!$D$6:$D$9),MAX('Normalizacion'!$D$6:$D$9))</f>
        <v>0.3253470976142052</v>
      </c>
      <c r="E6" s="3">
        <f>IF('Criterios'!E8&lt;0,MIN('Normalizacion'!$E$6:$E$9),MAX('Normalizacion'!$E$6:$E$9))</f>
        <v>0.18814417367671946</v>
      </c>
    </row>
    <row r="7">
      <c r="A7" t="str">
        <v>Proyecto Solar</v>
      </c>
      <c r="B7" s="3">
        <f>B$5*ABS(B$6-'Normalizacion'!B6)</f>
        <v>0.029624882156721048</v>
      </c>
      <c r="C7" s="3">
        <f>C$5*ABS(C$6-'Normalizacion'!C6)</f>
        <v>0.03654408413779289</v>
      </c>
      <c r="D7" s="3">
        <f>D$5*ABS(D$6-'Normalizacion'!D6)</f>
        <v>0.026434451681154172</v>
      </c>
      <c r="E7" s="3">
        <f>E$5*ABS(E$6-'Normalizacion'!E6)</f>
        <v>0.0752576694706878</v>
      </c>
      <c r="F7" s="3">
        <f>MAX(B7:E7)</f>
        <v>0.0752576694706878</v>
      </c>
      <c r="G7" s="1">
        <f>RANK(F7,$F$7:$F$10,1)</f>
        <v>1</v>
      </c>
    </row>
    <row r="8">
      <c r="A8" t="str">
        <v>Proyecto Logístico</v>
      </c>
      <c r="B8" s="3">
        <f>B$5*ABS(B$6-'Normalizacion'!B7)</f>
        <v>0.08203813520322756</v>
      </c>
      <c r="C8" s="3">
        <f>C$5*ABS(C$6-'Normalizacion'!C7)</f>
        <v>0.0657793514480272</v>
      </c>
      <c r="D8" s="3">
        <f>D$5*ABS(D$6-'Normalizacion'!D7)</f>
        <v>0</v>
      </c>
      <c r="E8" s="3">
        <f>E$5*ABS(E$6-'Normalizacion'!E7)</f>
        <v>0.01881441736767195</v>
      </c>
      <c r="F8" s="3">
        <f>MAX(B8:E8)</f>
        <v>0.08203813520322756</v>
      </c>
      <c r="G8" s="1">
        <f>RANK(F8,$F$7:$F$10,1)</f>
        <v>2</v>
      </c>
    </row>
    <row r="9">
      <c r="A9" t="str">
        <v>Proyecto Digital</v>
      </c>
      <c r="B9" s="3">
        <f>B$5*ABS(B$6-'Normalizacion'!B8)</f>
        <v>0</v>
      </c>
      <c r="C9" s="3">
        <f>C$5*ABS(C$6-'Normalizacion'!C8)</f>
        <v>0</v>
      </c>
      <c r="D9" s="3">
        <f>D$5*ABS(D$6-'Normalizacion'!D8)</f>
        <v>0.04676864528204199</v>
      </c>
      <c r="E9" s="3">
        <f>E$5*ABS(E$6-'Normalizacion'!E8)</f>
        <v>0.11288650420603169</v>
      </c>
      <c r="F9" s="3">
        <f>MAX(B9:E9)</f>
        <v>0.11288650420603169</v>
      </c>
      <c r="G9" s="1">
        <f>RANK(F9,$F$7:$F$10,1)</f>
        <v>4</v>
      </c>
    </row>
    <row r="10">
      <c r="A10" t="str">
        <v>Proyecto Inmobiliario</v>
      </c>
      <c r="B10" s="3">
        <f>B$5*ABS(B$6-'Normalizacion'!B9)</f>
        <v>0.10026883191505591</v>
      </c>
      <c r="C10" s="3">
        <f>C$5*ABS(C$6-'Normalizacion'!C9)</f>
        <v>0.08770580193070293</v>
      </c>
      <c r="D10" s="3">
        <f>D$5*ABS(D$6-'Normalizacion'!D9)</f>
        <v>0.05693574208248591</v>
      </c>
      <c r="E10" s="3">
        <f>E$5*ABS(E$6-'Normalizacion'!E9)</f>
        <v>0</v>
      </c>
      <c r="F10" s="3">
        <f>MAX(B10:E10)</f>
        <v>0.10026883191505591</v>
      </c>
      <c r="G10" s="1">
        <f>RANK(F10,$F$7:$F$10,1)</f>
        <v>3</v>
      </c>
    </row>
    <row r="12">
      <c r="A12" t="str">
        <v>Menor z es mejor. La referencia es el máximo de la columna si el criterio se maximiza y el mínimo si se minimiza.</v>
      </c>
    </row>
  </sheetData>
  <hyperlinks>
    <hyperlink ref="A2" location="'Menu'!A1" tooltip="Ir al menú"/>
  </hyperlinks>
  <ignoredErrors>
    <ignoredError numberStoredAsText="1" sqref="A1:G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0.83203125" customWidth="1"/>
  </cols>
  <sheetData>
    <row r="1">
      <c r="A1" t="str">
        <v>Forma multiplicativa completa: U = producto de (valor normalizado ^ (signo × peso))</v>
      </c>
    </row>
    <row r="2">
      <c r="A2" t="str">
        <v>Volver al menú</v>
      </c>
    </row>
    <row r="4">
      <c r="A4" t="str">
        <v>Alternativa</v>
      </c>
      <c r="B4" t="str">
        <v>VPN</v>
      </c>
      <c r="C4" t="str">
        <v>TIR</v>
      </c>
      <c r="D4" t="str">
        <v>Plazo de recuperación</v>
      </c>
      <c r="E4" t="str">
        <v>Riesgo</v>
      </c>
      <c r="F4" t="str">
        <v>U</v>
      </c>
      <c r="G4" t="str">
        <v>Posición</v>
      </c>
    </row>
    <row r="5">
      <c r="A5" t="str">
        <v>Exponente (signo × peso)</v>
      </c>
      <c r="B5" s="2">
        <f>'Criterios'!E5*'Criterios'!F5</f>
        <v>0.35</v>
      </c>
      <c r="C5" s="2">
        <f>'Criterios'!E6*'Criterios'!F6</f>
        <v>0.25</v>
      </c>
      <c r="D5" s="2">
        <f>'Criterios'!E7*'Criterios'!F7</f>
        <v>-0.2</v>
      </c>
      <c r="E5" s="2">
        <f>'Criterios'!E8*'Criterios'!F8</f>
        <v>-0.2</v>
      </c>
    </row>
    <row r="6">
      <c r="A6" t="str">
        <v>Proyecto Solar</v>
      </c>
      <c r="B6" s="3">
        <f>'Normalizacion'!B6^B$5</f>
        <v>0.8129661372963153</v>
      </c>
      <c r="C6" s="3">
        <f>'Normalizacion'!C6^C$5</f>
        <v>0.8517161720927484</v>
      </c>
      <c r="D6" s="3">
        <f>'Normalizacion'!D6^D$5</f>
        <v>1.1692788805514829</v>
      </c>
      <c r="E6" s="3">
        <f>'Normalizacion'!E6^E$5</f>
        <v>1.1211858143501834</v>
      </c>
      <c r="F6" s="3">
        <f>PRODUCT(B6:E6)</f>
        <v>0.9077432947058897</v>
      </c>
      <c r="G6" s="1">
        <f>RANK(F6,$F$6:$F$9,0)</f>
        <v>3</v>
      </c>
    </row>
    <row r="7">
      <c r="A7" t="str">
        <v>Proyecto Logístico</v>
      </c>
      <c r="B7" s="3">
        <f>'Normalizacion'!B7^B$5</f>
        <v>0.7279690635226054</v>
      </c>
      <c r="C7" s="3">
        <f>'Normalizacion'!C7^C$5</f>
        <v>0.7998504181811831</v>
      </c>
      <c r="D7" s="3">
        <f>'Normalizacion'!D7^D$5</f>
        <v>1.251787506184389</v>
      </c>
      <c r="E7" s="3">
        <f>'Normalizacion'!E7^E$5</f>
        <v>1.2879043005900666</v>
      </c>
      <c r="F7" s="3">
        <f>PRODUCT(B7:E7)</f>
        <v>0.9387196430994128</v>
      </c>
      <c r="G7" s="1">
        <f>RANK(F7,$F$6:$F$9,0)</f>
        <v>1</v>
      </c>
    </row>
    <row r="8">
      <c r="A8" t="str">
        <v>Proyecto Digital</v>
      </c>
      <c r="B8" s="3">
        <f>'Normalizacion'!B8^B$5</f>
        <v>0.8544860139539092</v>
      </c>
      <c r="C8" s="3">
        <f>'Normalizacion'!C8^C$5</f>
        <v>0.9055422671611495</v>
      </c>
      <c r="D8" s="3">
        <f>'Normalizacion'!D8^D$5</f>
        <v>1.123280113976474</v>
      </c>
      <c r="E8" s="3">
        <f>'Normalizacion'!E8^E$5</f>
        <v>1.0584975251690125</v>
      </c>
      <c r="F8" s="3">
        <f>PRODUCT(B8:E8)</f>
        <v>0.920007996852954</v>
      </c>
      <c r="G8" s="1">
        <f>RANK(F8,$F$6:$F$9,0)</f>
        <v>2</v>
      </c>
    </row>
    <row r="9">
      <c r="A9" t="str">
        <v>Proyecto Inmobiliario</v>
      </c>
      <c r="B9" s="3">
        <f>'Normalizacion'!B9^B$5</f>
        <v>0.6936072885243347</v>
      </c>
      <c r="C9" s="3">
        <f>'Normalizacion'!C9^C$5</f>
        <v>0.7530519519457045</v>
      </c>
      <c r="D9" s="3">
        <f>'Normalizacion'!D9^D$5</f>
        <v>1.1039015883495384</v>
      </c>
      <c r="E9" s="3">
        <f>'Normalizacion'!E9^E$5</f>
        <v>1.3966958579940427</v>
      </c>
      <c r="F9" s="3">
        <f>PRODUCT(B9:E9)</f>
        <v>0.8053242747181847</v>
      </c>
      <c r="G9" s="1">
        <f>RANK(F9,$F$6:$F$9,0)</f>
        <v>4</v>
      </c>
    </row>
    <row r="11">
      <c r="A11" t="str">
        <v>Mayor U es mejor. El exponente negativo de los criterios que se minimizan equivale a dividir por ellos.</v>
      </c>
    </row>
  </sheetData>
  <hyperlinks>
    <hyperlink ref="A2" location="'Menu'!A1" tooltip="Ir al menú"/>
  </hyperlinks>
  <ignoredErrors>
    <ignoredError numberStoredAsText="1" sqref="A1:G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30.83203125" customWidth="1"/>
    <col min="2" max="2" width="16.83203125" customWidth="1"/>
    <col min="3" max="3" width="20.83203125" customWidth="1"/>
    <col min="4" max="4" width="18.83203125" customWidth="1"/>
    <col min="5" max="5" width="23.83203125" customWidth="1"/>
    <col min="6" max="6" width="14.83203125" customWidth="1"/>
    <col min="7" max="7" width="14.83203125" customWidth="1"/>
    <col min="8" max="8" width="10.83203125" customWidth="1"/>
    <col min="9" max="9" width="14.83203125" customWidth="1"/>
  </cols>
  <sheetData>
    <row r="1">
      <c r="A1" t="str">
        <v>Teoría de dominancia: comparación por pares entre los tres métodos</v>
      </c>
    </row>
    <row r="2">
      <c r="A2" t="str">
        <v>Volver al menú</v>
      </c>
    </row>
    <row r="3">
      <c r="A3" t="str">
        <v>A. Métodos en los que la fila queda mejor ubicada que la columna (de 0 a 3)</v>
      </c>
    </row>
    <row r="4">
      <c r="A4" t="str">
        <v>Fila frente a columna</v>
      </c>
      <c r="B4" t="str">
        <v>Proyecto Solar</v>
      </c>
      <c r="C4" t="str">
        <v>Proyecto Logístico</v>
      </c>
      <c r="D4" t="str">
        <v>Proyecto Digital</v>
      </c>
      <c r="E4" t="str">
        <v>Proyecto Inmobiliario</v>
      </c>
    </row>
    <row r="5">
      <c r="A5" t="str">
        <v>Proyecto Solar</v>
      </c>
      <c r="C5" s="1">
        <f>('Razones'!$G$6&lt;'Razones'!$G$7)+('Referencia'!$G$7&lt;'Referencia'!$G$8)+('Multiplicativa'!$G$6&lt;'Multiplicativa'!$G$7)</f>
        <v>1</v>
      </c>
      <c r="D5" s="1">
        <f>('Razones'!$G$6&lt;'Razones'!$G$8)+('Referencia'!$G$7&lt;'Referencia'!$G$9)+('Multiplicativa'!$G$6&lt;'Multiplicativa'!$G$8)</f>
        <v>1</v>
      </c>
      <c r="E5" s="1">
        <f>('Razones'!$G$6&lt;'Razones'!$G$9)+('Referencia'!$G$7&lt;'Referencia'!$G$10)+('Multiplicativa'!$G$6&lt;'Multiplicativa'!$G$9)</f>
        <v>3</v>
      </c>
    </row>
    <row r="6">
      <c r="A6" t="str">
        <v>Proyecto Logístico</v>
      </c>
      <c r="B6" s="1">
        <f>('Razones'!$G$7&lt;'Razones'!$G$6)+('Referencia'!$G$8&lt;'Referencia'!$G$7)+('Multiplicativa'!$G$7&lt;'Multiplicativa'!$G$6)</f>
        <v>2</v>
      </c>
      <c r="D6" s="1">
        <f>('Razones'!$G$7&lt;'Razones'!$G$8)+('Referencia'!$G$8&lt;'Referencia'!$G$9)+('Multiplicativa'!$G$7&lt;'Multiplicativa'!$G$8)</f>
        <v>2</v>
      </c>
      <c r="E6" s="1">
        <f>('Razones'!$G$7&lt;'Razones'!$G$9)+('Referencia'!$G$8&lt;'Referencia'!$G$10)+('Multiplicativa'!$G$7&lt;'Multiplicativa'!$G$9)</f>
        <v>3</v>
      </c>
    </row>
    <row r="7">
      <c r="A7" t="str">
        <v>Proyecto Digital</v>
      </c>
      <c r="B7" s="1">
        <f>('Razones'!$G$8&lt;'Razones'!$G$6)+('Referencia'!$G$9&lt;'Referencia'!$G$7)+('Multiplicativa'!$G$8&lt;'Multiplicativa'!$G$6)</f>
        <v>2</v>
      </c>
      <c r="C7" s="1">
        <f>('Razones'!$G$8&lt;'Razones'!$G$7)+('Referencia'!$G$9&lt;'Referencia'!$G$8)+('Multiplicativa'!$G$8&lt;'Multiplicativa'!$G$7)</f>
        <v>1</v>
      </c>
      <c r="E7" s="1">
        <f>('Razones'!$G$8&lt;'Razones'!$G$9)+('Referencia'!$G$9&lt;'Referencia'!$G$10)+('Multiplicativa'!$G$8&lt;'Multiplicativa'!$G$9)</f>
        <v>2</v>
      </c>
    </row>
    <row r="8">
      <c r="A8" t="str">
        <v>Proyecto Inmobiliario</v>
      </c>
      <c r="B8" s="1">
        <f>('Razones'!$G$9&lt;'Razones'!$G$6)+('Referencia'!$G$10&lt;'Referencia'!$G$7)+('Multiplicativa'!$G$9&lt;'Multiplicativa'!$G$6)</f>
        <v>0</v>
      </c>
      <c r="C8" s="1">
        <f>('Razones'!$G$9&lt;'Razones'!$G$7)+('Referencia'!$G$10&lt;'Referencia'!$G$8)+('Multiplicativa'!$G$9&lt;'Multiplicativa'!$G$7)</f>
        <v>0</v>
      </c>
      <c r="D8" s="1">
        <f>('Razones'!$G$9&lt;'Razones'!$G$8)+('Referencia'!$G$10&lt;'Referencia'!$G$9)+('Multiplicativa'!$G$9&lt;'Multiplicativa'!$G$8)</f>
        <v>1</v>
      </c>
    </row>
    <row r="10">
      <c r="A10" t="str">
        <v>B. Resultado del par: 1 si la fila domina, −1 si es dominada, 0 si ninguna domina</v>
      </c>
    </row>
    <row r="11">
      <c r="A11" t="str">
        <v>Fila frente a columna</v>
      </c>
      <c r="B11" t="str">
        <v>Proyecto Solar</v>
      </c>
      <c r="C11" t="str">
        <v>Proyecto Logístico</v>
      </c>
      <c r="D11" t="str">
        <v>Proyecto Digital</v>
      </c>
      <c r="E11" t="str">
        <v>Proyecto Inmobiliario</v>
      </c>
      <c r="F11" t="str">
        <v>Pares ganados</v>
      </c>
      <c r="G11" t="str">
        <v>Pares perdidos</v>
      </c>
      <c r="H11" t="str">
        <v>Puntaje</v>
      </c>
      <c r="I11" t="str">
        <v>Posición final</v>
      </c>
    </row>
    <row r="12">
      <c r="A12" t="str">
        <v>Proyecto Solar</v>
      </c>
      <c r="C12" s="1">
        <f>SIGN(C5-B6)</f>
        <v>-1</v>
      </c>
      <c r="D12" s="1">
        <f>SIGN(D5-B7)</f>
        <v>-1</v>
      </c>
      <c r="E12" s="1">
        <f>SIGN(E5-B8)</f>
        <v>1</v>
      </c>
      <c r="F12" s="1">
        <f>COUNTIF(B12:E12,1)</f>
        <v>1</v>
      </c>
      <c r="G12" s="1">
        <f>COUNTIF(B12:E12,-1)</f>
        <v>2</v>
      </c>
      <c r="H12" s="1">
        <f>F12-G12</f>
        <v>-1</v>
      </c>
      <c r="I12" s="1">
        <f>RANK(H12,$H$12:$H$15,0)</f>
        <v>3</v>
      </c>
    </row>
    <row r="13">
      <c r="A13" t="str">
        <v>Proyecto Logístico</v>
      </c>
      <c r="B13" s="1">
        <f>SIGN(B6-C5)</f>
        <v>1</v>
      </c>
      <c r="D13" s="1">
        <f>SIGN(D6-C7)</f>
        <v>1</v>
      </c>
      <c r="E13" s="1">
        <f>SIGN(E6-C8)</f>
        <v>1</v>
      </c>
      <c r="F13" s="1">
        <f>COUNTIF(B13:E13,1)</f>
        <v>3</v>
      </c>
      <c r="G13" s="1">
        <f>COUNTIF(B13:E13,-1)</f>
        <v>0</v>
      </c>
      <c r="H13" s="1">
        <f>F13-G13</f>
        <v>3</v>
      </c>
      <c r="I13" s="1">
        <f>RANK(H13,$H$12:$H$15,0)</f>
        <v>1</v>
      </c>
    </row>
    <row r="14">
      <c r="A14" t="str">
        <v>Proyecto Digital</v>
      </c>
      <c r="B14" s="1">
        <f>SIGN(B7-D5)</f>
        <v>1</v>
      </c>
      <c r="C14" s="1">
        <f>SIGN(C7-D6)</f>
        <v>-1</v>
      </c>
      <c r="E14" s="1">
        <f>SIGN(E7-D8)</f>
        <v>1</v>
      </c>
      <c r="F14" s="1">
        <f>COUNTIF(B14:E14,1)</f>
        <v>2</v>
      </c>
      <c r="G14" s="1">
        <f>COUNTIF(B14:E14,-1)</f>
        <v>1</v>
      </c>
      <c r="H14" s="1">
        <f>F14-G14</f>
        <v>1</v>
      </c>
      <c r="I14" s="1">
        <f>RANK(H14,$H$12:$H$15,0)</f>
        <v>2</v>
      </c>
    </row>
    <row r="15">
      <c r="A15" t="str">
        <v>Proyecto Inmobiliario</v>
      </c>
      <c r="B15" s="1">
        <f>SIGN(B8-E5)</f>
        <v>-1</v>
      </c>
      <c r="C15" s="1">
        <f>SIGN(C8-E6)</f>
        <v>-1</v>
      </c>
      <c r="D15" s="1">
        <f>SIGN(D8-E7)</f>
        <v>-1</v>
      </c>
      <c r="F15" s="1">
        <f>COUNTIF(B15:E15,1)</f>
        <v>0</v>
      </c>
      <c r="G15" s="1">
        <f>COUNTIF(B15:E15,-1)</f>
        <v>3</v>
      </c>
      <c r="H15" s="1">
        <f>F15-G15</f>
        <v>-3</v>
      </c>
      <c r="I15" s="1">
        <f>RANK(H15,$H$12:$H$15,0)</f>
        <v>4</v>
      </c>
    </row>
    <row r="17">
      <c r="A17" t="str">
        <v>Una alternativa domina a otra si queda mejor ubicada en más métodos. La posición final ordena por pares ganados menos pares perdidos.</v>
      </c>
    </row>
    <row r="18">
      <c r="A18" t="str">
        <v>No hay razonamiento circular: el orden final respeta todas las comparaciones por pares.</v>
      </c>
    </row>
  </sheetData>
  <hyperlinks>
    <hyperlink ref="A2" location="'Menu'!A1" tooltip="Ir al menú"/>
  </hyperlinks>
  <ignoredErrors>
    <ignoredError numberStoredAsText="1" sqref="A1:I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52.83203125" customWidth="1"/>
    <col min="2" max="2" width="30.83203125" customWidth="1"/>
    <col min="3" max="3" width="18.83203125" customWidth="1"/>
    <col min="4" max="4" width="18.83203125" customWidth="1"/>
    <col min="5" max="5" width="18.83203125" customWidth="1"/>
    <col min="6" max="6" width="14.83203125" customWidth="1"/>
    <col min="7" max="7" width="18.83203125" customWidth="1"/>
  </cols>
  <sheetData>
    <row r="1">
      <c r="A1" t="str">
        <v>Resultado de la decisión</v>
      </c>
    </row>
    <row r="2">
      <c r="A2" t="str">
        <v>Volver al menú</v>
      </c>
    </row>
    <row r="4">
      <c r="A4" t="str">
        <v>A. Clasificación final</v>
      </c>
    </row>
    <row r="5">
      <c r="A5" t="str">
        <v>Posición final (dominancia)</v>
      </c>
      <c r="B5" t="str">
        <v>Alternativa</v>
      </c>
      <c r="C5" t="str">
        <v>Sistema de razones</v>
      </c>
      <c r="D5" t="str">
        <v>Punto de referencia</v>
      </c>
      <c r="E5" t="str">
        <v>Forma multiplicativa</v>
      </c>
      <c r="F5" t="str">
        <v>Suma de Borda</v>
      </c>
      <c r="G5" t="str">
        <v>Posición por Borda</v>
      </c>
    </row>
    <row r="6">
      <c r="A6" s="1">
        <f>'Dominancia'!I13</f>
        <v>1</v>
      </c>
      <c r="B6" t="str">
        <v>Proyecto Logístico</v>
      </c>
      <c r="C6" s="1">
        <f>'Razones'!G7</f>
        <v>2</v>
      </c>
      <c r="D6" s="1">
        <f>'Referencia'!G8</f>
        <v>2</v>
      </c>
      <c r="E6" s="1">
        <f>'Multiplicativa'!G7</f>
        <v>1</v>
      </c>
      <c r="F6" s="1">
        <f>SUM(C6:E6)</f>
        <v>5</v>
      </c>
      <c r="G6" s="1">
        <f>RANK(F6,$F$6:$F$9,1)</f>
        <v>1</v>
      </c>
    </row>
    <row r="7">
      <c r="A7" s="1">
        <f>'Dominancia'!I14</f>
        <v>2</v>
      </c>
      <c r="B7" t="str">
        <v>Proyecto Digital</v>
      </c>
      <c r="C7" s="1">
        <f>'Razones'!G8</f>
        <v>1</v>
      </c>
      <c r="D7" s="1">
        <f>'Referencia'!G9</f>
        <v>4</v>
      </c>
      <c r="E7" s="1">
        <f>'Multiplicativa'!G8</f>
        <v>2</v>
      </c>
      <c r="F7" s="1">
        <f>SUM(C7:E7)</f>
        <v>7</v>
      </c>
      <c r="G7" s="1">
        <f>RANK(F7,$F$6:$F$9,1)</f>
        <v>2</v>
      </c>
    </row>
    <row r="8">
      <c r="A8" s="1">
        <f>'Dominancia'!I12</f>
        <v>3</v>
      </c>
      <c r="B8" t="str">
        <v>Proyecto Solar</v>
      </c>
      <c r="C8" s="1">
        <f>'Razones'!G6</f>
        <v>3</v>
      </c>
      <c r="D8" s="1">
        <f>'Referencia'!G7</f>
        <v>1</v>
      </c>
      <c r="E8" s="1">
        <f>'Multiplicativa'!G6</f>
        <v>3</v>
      </c>
      <c r="F8" s="1">
        <f>SUM(C8:E8)</f>
        <v>7</v>
      </c>
      <c r="G8" s="1">
        <f>RANK(F8,$F$6:$F$9,1)</f>
        <v>2</v>
      </c>
    </row>
    <row r="9">
      <c r="A9" s="1">
        <f>'Dominancia'!I15</f>
        <v>4</v>
      </c>
      <c r="B9" t="str">
        <v>Proyecto Inmobiliario</v>
      </c>
      <c r="C9" s="1">
        <f>'Razones'!G9</f>
        <v>4</v>
      </c>
      <c r="D9" s="1">
        <f>'Referencia'!G10</f>
        <v>3</v>
      </c>
      <c r="E9" s="1">
        <f>'Multiplicativa'!G9</f>
        <v>4</v>
      </c>
      <c r="F9" s="1">
        <f>SUM(C9:E9)</f>
        <v>11</v>
      </c>
      <c r="G9" s="1">
        <f>RANK(F9,$F$6:$F$9,1)</f>
        <v>4</v>
      </c>
    </row>
    <row r="11">
      <c r="A11" t="str">
        <v>B. Indicadores de acuerdo entre métodos</v>
      </c>
    </row>
    <row r="12">
      <c r="A12" t="str">
        <v>Indicador</v>
      </c>
      <c r="B12" t="str">
        <v>Valor</v>
      </c>
    </row>
    <row r="13">
      <c r="A13" t="str">
        <v>Métodos que ubican primera a la ganadora (de 3)</v>
      </c>
      <c r="B13" s="1">
        <v>1</v>
      </c>
    </row>
    <row r="14">
      <c r="A14" t="str">
        <v>Los tres métodos producen el mismo orden</v>
      </c>
      <c r="B14" t="str">
        <v>No</v>
      </c>
    </row>
    <row r="15">
      <c r="A15" t="str">
        <v>Borda confirma el primer lugar</v>
      </c>
      <c r="B15" t="str">
        <v>Sí</v>
      </c>
    </row>
    <row r="16">
      <c r="A16" t="str">
        <v>Posiciones que difieren entre dominancia y Borda</v>
      </c>
      <c r="B16" s="1">
        <v>1</v>
      </c>
    </row>
    <row r="17">
      <c r="A17" t="str">
        <v>Pares con razonamiento circular</v>
      </c>
      <c r="B17" s="1">
        <v>0</v>
      </c>
    </row>
    <row r="18">
      <c r="A18" t="str">
        <v>Correlación de posiciones: Sistema de razones y Punto de referencia</v>
      </c>
      <c r="B18" s="4">
        <v>-0.4</v>
      </c>
    </row>
    <row r="19">
      <c r="A19" t="str">
        <v>Correlación de posiciones: Sistema de razones y Forma multiplicativa</v>
      </c>
      <c r="B19" s="4">
        <v>0.8</v>
      </c>
    </row>
    <row r="20">
      <c r="A20" t="str">
        <v>Correlación de posiciones: Punto de referencia y Forma multiplicativa</v>
      </c>
      <c r="B20" s="4">
        <v>0</v>
      </c>
    </row>
    <row r="22">
      <c r="A22" t="str">
        <v>La clasificación se ordenó con los datos del momento de la exportación. Si cambia datos o pesos, las posiciones se recalculan, pero las filas no se reordenan.</v>
      </c>
    </row>
    <row r="23">
      <c r="A23" t="str">
        <v>Datos de prueba generados por la aplicación; son ficticios.</v>
      </c>
    </row>
  </sheetData>
  <hyperlinks>
    <hyperlink ref="A2" location="'Menu'!A1" tooltip="Ir al menú"/>
  </hyperlink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Menu</vt:lpstr>
      <vt:lpstr>Criterios</vt:lpstr>
      <vt:lpstr>Matriz</vt:lpstr>
      <vt:lpstr>Normalizacion</vt:lpstr>
      <vt:lpstr>Razones</vt:lpstr>
      <vt:lpstr>Referencia</vt:lpstr>
      <vt:lpstr>Multiplicativa</vt:lpstr>
      <vt:lpstr>Dominancia</vt:lpstr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Sergio Gómez Rueda</dc:creator>
  <dc:description>Este aplicativo fue desarrollado por Mario Sergio Gómez Rueda. Su uso es de carácter académico y cualquier otro uso se regirá por el derecho de la propiedad intelectual. Sugerencias o dudas: mgomezr1@gmail.com</dc:description>
  <dc:title>Sýnthesis MULTIMOORA: resultados</dc:title>
</cp:coreProperties>
</file>