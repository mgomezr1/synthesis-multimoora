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Criterios" sheetId="2" r:id="rId2"/>
    <sheet name="Entropia" sheetId="3" r:id="rId3"/>
    <sheet name="Matriz" sheetId="4" r:id="rId4"/>
    <sheet name="Normalizacion" sheetId="5" r:id="rId5"/>
    <sheet name="Razones" sheetId="6" r:id="rId6"/>
    <sheet name="Referencia" sheetId="7" r:id="rId7"/>
    <sheet name="Multiplicativa" sheetId="8" r:id="rId8"/>
    <sheet name="Dominancia" sheetId="9" r:id="rId9"/>
    <sheet name="Resultado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00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8.83203125" customWidth="1"/>
    <col min="2" max="2" width="96.83203125" customWidth="1"/>
  </cols>
  <sheetData>
    <row r="1">
      <c r="A1" t="str">
        <v>Sýnthesis MULTIMOORA</v>
      </c>
    </row>
    <row r="2">
      <c r="A2" t="str">
        <v>Resultados del método MULTIMOORA</v>
      </c>
    </row>
    <row r="4">
      <c r="A4" t="str">
        <v>Objetivo</v>
      </c>
      <c r="B4" t="str">
        <v>[Datos de prueba] Seleccionar el proveedor de un servicio</v>
      </c>
    </row>
    <row r="5">
      <c r="A5" t="str">
        <v>Origen de los datos</v>
      </c>
      <c r="B5" t="str">
        <v>Datos de prueba generados por la aplicación, escenario «Prueba 3: selección de proveedor con pesos por entropía (5 × 5)»; son ficticios</v>
      </c>
    </row>
    <row r="6">
      <c r="A6" t="str">
        <v>Origen de los pesos</v>
      </c>
      <c r="B6" t="str">
        <v>Calculados con la entropía de Shannon</v>
      </c>
    </row>
    <row r="7">
      <c r="A7" t="str">
        <v>Fecha del cálculo</v>
      </c>
      <c r="B7" t="str">
        <v>10/10/2026, 8:06:17 a. m.</v>
      </c>
    </row>
    <row r="8">
      <c r="A8" t="str">
        <v>Número de criterios</v>
      </c>
      <c r="B8" s="1">
        <v>5</v>
      </c>
    </row>
    <row r="9">
      <c r="A9" t="str">
        <v>Número de alternativas</v>
      </c>
      <c r="B9" s="1">
        <v>5</v>
      </c>
    </row>
    <row r="10">
      <c r="A10" t="str">
        <v>Primera alternativa en la síntesis por dominancia</v>
      </c>
      <c r="B10" t="str">
        <v>Proveedor de prueba E</v>
      </c>
    </row>
    <row r="11">
      <c r="A11" t="str">
        <v>Métodos que la ubican en el primer lugar (de 3)</v>
      </c>
      <c r="B11" s="1">
        <v>2</v>
      </c>
    </row>
    <row r="12">
      <c r="A12" t="str">
        <v>Borda confirma el primer lugar</v>
      </c>
      <c r="B12" t="str">
        <v>Sí</v>
      </c>
    </row>
    <row r="13">
      <c r="A13" t="str">
        <v>Pares con razonamiento circular</v>
      </c>
      <c r="B13" s="1">
        <v>0</v>
      </c>
    </row>
    <row r="15">
      <c r="A15" t="str">
        <v>Contenido del libro</v>
      </c>
    </row>
    <row r="16">
      <c r="A16" t="str">
        <v>Hoja</v>
      </c>
      <c r="B16" t="str">
        <v>Contenido</v>
      </c>
    </row>
    <row r="17">
      <c r="A17" t="str">
        <v>Criterios</v>
      </c>
      <c r="B17" t="str">
        <v>Sentido, signo y peso de cada criterio</v>
      </c>
    </row>
    <row r="18">
      <c r="A18" t="str">
        <v>Entropia</v>
      </c>
      <c r="B18" t="str">
        <v>Pesos por entropía de Shannon: proporciones, entropía y diversificación</v>
      </c>
    </row>
    <row r="19">
      <c r="A19" t="str">
        <v>Matriz</v>
      </c>
      <c r="B19" t="str">
        <v>Matriz de decisión en unidades originales</v>
      </c>
    </row>
    <row r="20">
      <c r="A20" t="str">
        <v>Normalizacion</v>
      </c>
      <c r="B20" t="str">
        <v>Normalización vectorial: cada valor dividido por la raíz de la suma de cuadrados de su columna</v>
      </c>
    </row>
    <row r="21">
      <c r="A21" t="str">
        <v>Razones</v>
      </c>
      <c r="B21" t="str">
        <v>Sistema de razones: aportes ponderados con signo, y, posición</v>
      </c>
    </row>
    <row r="22">
      <c r="A22" t="str">
        <v>Referencia</v>
      </c>
      <c r="B22" t="str">
        <v>Punto de referencia: desviaciones ponderadas, z, posición</v>
      </c>
    </row>
    <row r="23">
      <c r="A23" t="str">
        <v>Multiplicativa</v>
      </c>
      <c r="B23" t="str">
        <v>Forma multiplicativa completa: factores, U, posición</v>
      </c>
    </row>
    <row r="24">
      <c r="A24" t="str">
        <v>Dominancia</v>
      </c>
      <c r="B24" t="str">
        <v>Comparación por pares entre los tres métodos, puntaje y posición final</v>
      </c>
    </row>
    <row r="25">
      <c r="A25" t="str">
        <v>Resultado</v>
      </c>
      <c r="B25" t="str">
        <v>Clasificación final, contraste de Borda e indicadores de acuerdo</v>
      </c>
    </row>
    <row r="27">
      <c r="A27" t="str">
        <v>Software</v>
      </c>
      <c r="B27" t="str">
        <v>Sýnthesis MULTIMOORA versión 1.0</v>
      </c>
    </row>
    <row r="28">
      <c r="A28" t="str">
        <v>Autor</v>
      </c>
      <c r="B28" t="str">
        <v>Mario Sergio Gómez Rueda</v>
      </c>
    </row>
    <row r="29">
      <c r="A29" t="str">
        <v>Contacto</v>
      </c>
      <c r="B29" t="str">
        <v>mgomezr1@gmail.com</v>
      </c>
    </row>
    <row r="30">
      <c r="A30" t="str">
        <v>Nota</v>
      </c>
      <c r="B30" t="str">
        <v>Este aplicativo fue desarrollado por Mario Sergio Gómez Rueda. Su uso es de carácter académico y cualquier otro uso se regirá por el derecho de la propiedad intelectual. Sugerencias o dudas: mgomezr1@gmail.com</v>
      </c>
    </row>
    <row r="31">
      <c r="A31" t="str">
        <v>Advertencia</v>
      </c>
      <c r="B31" t="str">
        <v>Datos de prueba generados por la aplicación; son ficticios y no representan una decisión real.</v>
      </c>
    </row>
  </sheetData>
  <hyperlinks>
    <hyperlink ref="A17" location="'Criterios'!A1" tooltip="Ir a la hoja"/>
    <hyperlink ref="A18" location="'Entropia'!A1" tooltip="Ir a la hoja"/>
    <hyperlink ref="A19" location="'Matriz'!A1" tooltip="Ir a la hoja"/>
    <hyperlink ref="A20" location="'Normalizacion'!A1" tooltip="Ir a la hoja"/>
    <hyperlink ref="A21" location="'Razones'!A1" tooltip="Ir a la hoja"/>
    <hyperlink ref="A22" location="'Referencia'!A1" tooltip="Ir a la hoja"/>
    <hyperlink ref="A23" location="'Multiplicativa'!A1" tooltip="Ir a la hoja"/>
    <hyperlink ref="A24" location="'Dominancia'!A1" tooltip="Ir a la hoja"/>
    <hyperlink ref="A25" location="'Resultado'!A1" tooltip="Ir a la hoja"/>
  </hyperlinks>
  <ignoredErrors>
    <ignoredError numberStoredAsText="1" sqref="A1:B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5.83203125" customWidth="1"/>
    <col min="2" max="2" width="30.83203125" customWidth="1"/>
    <col min="3" max="3" width="14.83203125" customWidth="1"/>
    <col min="4" max="4" width="14.83203125" customWidth="1"/>
    <col min="5" max="5" width="8.83203125" customWidth="1"/>
    <col min="6" max="6" width="12.83203125" customWidth="1"/>
  </cols>
  <sheetData>
    <row r="1">
      <c r="A1" t="str">
        <v>Criterios, sentido y pesos</v>
      </c>
    </row>
    <row r="2">
      <c r="A2" t="str">
        <v>Volver al menú</v>
      </c>
    </row>
    <row r="4">
      <c r="A4" t="str">
        <v>#</v>
      </c>
      <c r="B4" t="str">
        <v>Criterio</v>
      </c>
      <c r="C4" t="str">
        <v>Unidad</v>
      </c>
      <c r="D4" t="str">
        <v>Sentido</v>
      </c>
      <c r="E4" t="str">
        <v>Signo</v>
      </c>
      <c r="F4" t="str">
        <v>Peso</v>
      </c>
    </row>
    <row r="5">
      <c r="A5" s="1">
        <v>1</v>
      </c>
      <c r="B5" t="str">
        <v>Precio</v>
      </c>
      <c r="C5" t="str">
        <v>millones COP</v>
      </c>
      <c r="D5" t="str">
        <v>Minimizar</v>
      </c>
      <c r="E5" s="1">
        <f>IF(D5="Minimizar",-1,1)</f>
        <v>-1</v>
      </c>
      <c r="F5" s="2">
        <f>'Entropia'!B21</f>
        <v>0.03082280446641544</v>
      </c>
    </row>
    <row r="6">
      <c r="A6" s="1">
        <v>2</v>
      </c>
      <c r="B6" t="str">
        <v>Calidad</v>
      </c>
      <c r="C6" t="str">
        <v>escala de 1 a 10</v>
      </c>
      <c r="D6" t="str">
        <v>Maximizar</v>
      </c>
      <c r="E6" s="1">
        <f>IF(D6="Minimizar",-1,1)</f>
        <v>1</v>
      </c>
      <c r="F6" s="2">
        <f>'Entropia'!C21</f>
        <v>0.03165099201836584</v>
      </c>
    </row>
    <row r="7">
      <c r="A7" s="1">
        <v>3</v>
      </c>
      <c r="B7" t="str">
        <v>Tiempo de entrega</v>
      </c>
      <c r="C7" t="str">
        <v>días</v>
      </c>
      <c r="D7" t="str">
        <v>Minimizar</v>
      </c>
      <c r="E7" s="1">
        <f>IF(D7="Minimizar",-1,1)</f>
        <v>-1</v>
      </c>
      <c r="F7" s="2">
        <f>'Entropia'!D21</f>
        <v>0.18840488565436472</v>
      </c>
    </row>
    <row r="8">
      <c r="A8" s="1">
        <v>4</v>
      </c>
      <c r="B8" t="str">
        <v>Experiencia</v>
      </c>
      <c r="C8" t="str">
        <v>años</v>
      </c>
      <c r="D8" t="str">
        <v>Maximizar</v>
      </c>
      <c r="E8" s="1">
        <f>IF(D8="Minimizar",-1,1)</f>
        <v>1</v>
      </c>
      <c r="F8" s="2">
        <f>'Entropia'!E21</f>
        <v>0.34193427737979215</v>
      </c>
    </row>
    <row r="9">
      <c r="A9" s="1">
        <v>5</v>
      </c>
      <c r="B9" t="str">
        <v>Cobertura</v>
      </c>
      <c r="C9" t="str">
        <v>ciudades</v>
      </c>
      <c r="D9" t="str">
        <v>Maximizar</v>
      </c>
      <c r="E9" s="1">
        <f>IF(D9="Minimizar",-1,1)</f>
        <v>1</v>
      </c>
      <c r="F9" s="2">
        <f>'Entropia'!F21</f>
        <v>0.40718704048106186</v>
      </c>
    </row>
    <row r="10">
      <c r="B10" t="str">
        <v>Suma de pesos</v>
      </c>
      <c r="F10" s="2">
        <f>SUM(F5:F9)</f>
        <v>1</v>
      </c>
    </row>
    <row r="12">
      <c r="A12" t="str">
        <v>Los pesos provienen de la hoja Entropia.</v>
      </c>
    </row>
    <row r="13">
      <c r="A13" t="str">
        <v>El signo vale 1 si el criterio se maximiza y −1 si se minimiza. Las hojas de cada método lo usan para sumar o restar, y como signo del exponente.</v>
      </c>
    </row>
  </sheetData>
  <hyperlinks>
    <hyperlink ref="A2" location="'Menu'!A1" tooltip="Ir al menú"/>
  </hyperlinks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34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Pesos por entropía de Shannon</v>
      </c>
    </row>
    <row r="2">
      <c r="A2" t="str">
        <v>Volver al menú</v>
      </c>
    </row>
    <row r="3">
      <c r="A3" t="str">
        <v>A. Proporciones p = x / suma de la columna</v>
      </c>
    </row>
    <row r="4">
      <c r="A4" t="str">
        <v>Alternativa</v>
      </c>
      <c r="B4" t="str">
        <v>Precio</v>
      </c>
      <c r="C4" t="str">
        <v>Calidad</v>
      </c>
      <c r="D4" t="str">
        <v>Tiempo de entrega</v>
      </c>
      <c r="E4" t="str">
        <v>Experiencia</v>
      </c>
      <c r="F4" t="str">
        <v>Cobertura</v>
      </c>
    </row>
    <row r="5">
      <c r="A5" t="str">
        <v>Proveedor de prueba A</v>
      </c>
      <c r="B5" s="3">
        <f>'Matriz'!B5/SUM('Matriz'!$B$5:$B$9)</f>
        <v>0.19811320754716982</v>
      </c>
      <c r="C5" s="3">
        <f>'Matriz'!C5/SUM('Matriz'!$C$5:$C$9)</f>
        <v>0.21052631578947367</v>
      </c>
      <c r="D5" s="3">
        <f>'Matriz'!D5/SUM('Matriz'!$D$5:$D$9)</f>
        <v>0.18292682926829268</v>
      </c>
      <c r="E5" s="3">
        <f>'Matriz'!E5/SUM('Matriz'!$E$5:$E$9)</f>
        <v>0.2</v>
      </c>
      <c r="F5" s="3">
        <f>'Matriz'!F5/SUM('Matriz'!$F$5:$F$9)</f>
        <v>0.17647058823529413</v>
      </c>
    </row>
    <row r="6">
      <c r="A6" t="str">
        <v>Proveedor de prueba B</v>
      </c>
      <c r="B6" s="3">
        <f>'Matriz'!B6/SUM('Matriz'!$B$5:$B$9)</f>
        <v>0.1792452830188679</v>
      </c>
      <c r="C6" s="3">
        <f>'Matriz'!C6/SUM('Matriz'!$C$5:$C$9)</f>
        <v>0.18421052631578946</v>
      </c>
      <c r="D6" s="3">
        <f>'Matriz'!D6/SUM('Matriz'!$D$5:$D$9)</f>
        <v>0.24390243902439024</v>
      </c>
      <c r="E6" s="3">
        <f>'Matriz'!E6/SUM('Matriz'!$E$5:$E$9)</f>
        <v>0.13333333333333333</v>
      </c>
      <c r="F6" s="3">
        <f>'Matriz'!F6/SUM('Matriz'!$F$5:$F$9)</f>
        <v>0.11764705882352941</v>
      </c>
    </row>
    <row r="7">
      <c r="A7" t="str">
        <v>Proveedor de prueba C</v>
      </c>
      <c r="B7" s="3">
        <f>'Matriz'!B7/SUM('Matriz'!$B$5:$B$9)</f>
        <v>0.24056603773584906</v>
      </c>
      <c r="C7" s="3">
        <f>'Matriz'!C7/SUM('Matriz'!$C$5:$C$9)</f>
        <v>0.23684210526315788</v>
      </c>
      <c r="D7" s="3">
        <f>'Matriz'!D7/SUM('Matriz'!$D$5:$D$9)</f>
        <v>0.12195121951219512</v>
      </c>
      <c r="E7" s="3">
        <f>'Matriz'!E7/SUM('Matriz'!$E$5:$E$9)</f>
        <v>0.3333333333333333</v>
      </c>
      <c r="F7" s="3">
        <f>'Matriz'!F7/SUM('Matriz'!$F$5:$F$9)</f>
        <v>0.2647058823529412</v>
      </c>
    </row>
    <row r="8">
      <c r="A8" t="str">
        <v>Proveedor de prueba D</v>
      </c>
      <c r="B8" s="3">
        <f>'Matriz'!B8/SUM('Matriz'!$B$5:$B$9)</f>
        <v>0.1650943396226415</v>
      </c>
      <c r="C8" s="3">
        <f>'Matriz'!C8/SUM('Matriz'!$C$5:$C$9)</f>
        <v>0.15789473684210525</v>
      </c>
      <c r="D8" s="3">
        <f>'Matriz'!D8/SUM('Matriz'!$D$5:$D$9)</f>
        <v>0.3048780487804878</v>
      </c>
      <c r="E8" s="3">
        <f>'Matriz'!E8/SUM('Matriz'!$E$5:$E$9)</f>
        <v>0.08333333333333333</v>
      </c>
      <c r="F8" s="3">
        <f>'Matriz'!F8/SUM('Matriz'!$F$5:$F$9)</f>
        <v>0.08823529411764706</v>
      </c>
    </row>
    <row r="9">
      <c r="A9" t="str">
        <v>Proveedor de prueba E</v>
      </c>
      <c r="B9" s="3">
        <f>'Matriz'!B9/SUM('Matriz'!$B$5:$B$9)</f>
        <v>0.2169811320754717</v>
      </c>
      <c r="C9" s="3">
        <f>'Matriz'!C9/SUM('Matriz'!$C$5:$C$9)</f>
        <v>0.21052631578947367</v>
      </c>
      <c r="D9" s="3">
        <f>'Matriz'!D9/SUM('Matriz'!$D$5:$D$9)</f>
        <v>0.14634146341463414</v>
      </c>
      <c r="E9" s="3">
        <f>'Matriz'!E9/SUM('Matriz'!$E$5:$E$9)</f>
        <v>0.25</v>
      </c>
      <c r="F9" s="3">
        <f>'Matriz'!F9/SUM('Matriz'!$F$5:$F$9)</f>
        <v>0.35294117647058826</v>
      </c>
    </row>
    <row r="11">
      <c r="A11" t="str">
        <v>B. Términos p × ln(p)</v>
      </c>
    </row>
    <row r="12">
      <c r="A12" t="str">
        <v>Alternativa</v>
      </c>
      <c r="B12" t="str">
        <v>Precio</v>
      </c>
      <c r="C12" t="str">
        <v>Calidad</v>
      </c>
      <c r="D12" t="str">
        <v>Tiempo de entrega</v>
      </c>
      <c r="E12" t="str">
        <v>Experiencia</v>
      </c>
      <c r="F12" t="str">
        <v>Cobertura</v>
      </c>
    </row>
    <row r="13">
      <c r="A13" t="str">
        <v>Proveedor de prueba A</v>
      </c>
      <c r="B13" s="3">
        <f>IF(B5&gt;0,B5*LN(B5),0)</f>
        <v>-0.32072877154869367</v>
      </c>
      <c r="C13" s="3">
        <f>IF(C5&gt;0,C5*LN(C5),0)</f>
        <v>-0.3280304459045368</v>
      </c>
      <c r="D13" s="3">
        <f>IF(D5&gt;0,D5*LN(D5),0)</f>
        <v>-0.3107321425906176</v>
      </c>
      <c r="E13" s="3">
        <f>IF(E5&gt;0,E5*LN(E5),0)</f>
        <v>-0.3218875824868201</v>
      </c>
      <c r="F13" s="3">
        <f>IF(F5&gt;0,F5*LN(F5),0)</f>
        <v>-0.3061060685979011</v>
      </c>
    </row>
    <row r="14">
      <c r="A14" t="str">
        <v>Proveedor de prueba B</v>
      </c>
      <c r="B14" s="3">
        <f>IF(B6&gt;0,B6*LN(B6),0)</f>
        <v>-0.3081226621128953</v>
      </c>
      <c r="C14" s="3">
        <f>IF(C6&gt;0,C6*LN(C6),0)</f>
        <v>-0.3116245282815134</v>
      </c>
      <c r="D14" s="3">
        <f>IF(D6&gt;0,D6*LN(D6),0)</f>
        <v>-0.3441431643195761</v>
      </c>
      <c r="E14" s="3">
        <f>IF(E6&gt;0,E6*LN(E6),0)</f>
        <v>-0.268653736072302</v>
      </c>
      <c r="F14" s="3">
        <f>IF(F6&gt;0,F6*LN(F6),0)</f>
        <v>-0.2517724898230907</v>
      </c>
    </row>
    <row r="15">
      <c r="A15" t="str">
        <v>Proveedor de prueba C</v>
      </c>
      <c r="B15" s="3">
        <f>IF(B7&gt;0,B7*LN(B7),0)</f>
        <v>-0.3427490223553397</v>
      </c>
      <c r="C15" s="3">
        <f>IF(C7&gt;0,C7*LN(C7),0)</f>
        <v>-0.3411382695134605</v>
      </c>
      <c r="D15" s="3">
        <f>IF(D7&gt;0,D7*LN(D7),0)</f>
        <v>-0.2566017261305131</v>
      </c>
      <c r="E15" s="3">
        <f>IF(E7&gt;0,E7*LN(E7),0)</f>
        <v>-0.3662040962227032</v>
      </c>
      <c r="F15" s="3">
        <f>IF(F7&gt;0,F7*LN(F7),0)</f>
        <v>-0.35183010369174933</v>
      </c>
    </row>
    <row r="16">
      <c r="A16" t="str">
        <v>Proveedor de prueba D</v>
      </c>
      <c r="B16" s="3">
        <f>IF(B8&gt;0,B8*LN(B8),0)</f>
        <v>-0.2973742333084479</v>
      </c>
      <c r="C16" s="3">
        <f>IF(C8&gt;0,C8*LN(C8),0)</f>
        <v>-0.291446319552368</v>
      </c>
      <c r="D16" s="3">
        <f>IF(D8&gt;0,D8*LN(D8),0)</f>
        <v>-0.3621473848768452</v>
      </c>
      <c r="E16" s="3">
        <f>IF(E8&gt;0,E8*LN(E8),0)</f>
        <v>-0.20707555414900003</v>
      </c>
      <c r="F16" s="3">
        <f>IF(F8&gt;0,F8*LN(F8),0)</f>
        <v>-0.21421307964247516</v>
      </c>
    </row>
    <row r="17">
      <c r="A17" t="str">
        <v>Proveedor de prueba E</v>
      </c>
      <c r="B17" s="3">
        <f>IF(B9&gt;0,B9*LN(B9),0)</f>
        <v>-0.3315352094170481</v>
      </c>
      <c r="C17" s="3">
        <f>IF(C9&gt;0,C9*LN(C9),0)</f>
        <v>-0.3280304459045368</v>
      </c>
      <c r="D17" s="3">
        <f>IF(D9&gt;0,D9*LN(D9),0)</f>
        <v>-0.28124086792335407</v>
      </c>
      <c r="E17" s="3">
        <f>IF(E9&gt;0,E9*LN(E9),0)</f>
        <v>-0.34657359027997264</v>
      </c>
      <c r="F17" s="3">
        <f>IF(F9&gt;0,F9*LN(F9),0)</f>
        <v>-0.3675719558217039</v>
      </c>
    </row>
    <row r="19">
      <c r="A19" t="str">
        <v>Entropía E = −suma / ln(m)</v>
      </c>
      <c r="B19" s="3">
        <f>-SUM(B13:B17)/LN(5)</f>
        <v>0.9944527131971355</v>
      </c>
      <c r="C19" s="3">
        <f>-SUM(C13:C17)/LN(5)</f>
        <v>0.994303661416911</v>
      </c>
      <c r="D19" s="3">
        <f>-SUM(D13:D17)/LN(5)</f>
        <v>0.9660921206269715</v>
      </c>
      <c r="E19" s="3">
        <f>-SUM(E13:E17)/LN(5)</f>
        <v>0.9384609046064349</v>
      </c>
      <c r="F19" s="3">
        <f>-SUM(F13:F17)/LN(5)</f>
        <v>0.926717138980029</v>
      </c>
    </row>
    <row r="20">
      <c r="A20" t="str">
        <v>Diversificación d = 1 − E</v>
      </c>
      <c r="B20" s="3">
        <f>1-B19</f>
        <v>0.005547286802864537</v>
      </c>
      <c r="C20" s="3">
        <f>1-C19</f>
        <v>0.0056963385830890445</v>
      </c>
      <c r="D20" s="3">
        <f>1-D19</f>
        <v>0.03390787937302853</v>
      </c>
      <c r="E20" s="3">
        <f>1-E19</f>
        <v>0.06153909539356506</v>
      </c>
      <c r="F20" s="3">
        <f>1-F19</f>
        <v>0.07328286101997095</v>
      </c>
    </row>
    <row r="21">
      <c r="A21" t="str">
        <v>Peso w = d / suma de d</v>
      </c>
      <c r="B21" s="3">
        <f>B20/SUM($B$20:$F$20)</f>
        <v>0.03082280446641544</v>
      </c>
      <c r="C21" s="3">
        <f>C20/SUM($B$20:$F$20)</f>
        <v>0.03165099201836584</v>
      </c>
      <c r="D21" s="3">
        <f>D20/SUM($B$20:$F$20)</f>
        <v>0.18840488565436472</v>
      </c>
      <c r="E21" s="3">
        <f>E20/SUM($B$20:$F$20)</f>
        <v>0.34193427737979215</v>
      </c>
      <c r="F21" s="3">
        <f>F20/SUM($B$20:$F$20)</f>
        <v>0.40718704048106186</v>
      </c>
    </row>
    <row r="23">
      <c r="A23" t="str">
        <v>Un criterio en el que las alternativas se parecen tiene entropía cercana a 1 y recibe poco peso.</v>
      </c>
    </row>
  </sheetData>
  <hyperlinks>
    <hyperlink ref="A2" location="'Menu'!A1" tooltip="Ir al menú"/>
  </hyperlinks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23.83203125" customWidth="1"/>
    <col min="5" max="5" width="17.83203125" customWidth="1"/>
    <col min="6" max="6" width="15.83203125" customWidth="1"/>
  </cols>
  <sheetData>
    <row r="1">
      <c r="A1" t="str">
        <v>Matriz de decisión</v>
      </c>
    </row>
    <row r="2">
      <c r="A2" t="str">
        <v>Volver al menú</v>
      </c>
    </row>
    <row r="4">
      <c r="A4" t="str">
        <v>Alternativa</v>
      </c>
      <c r="B4" t="str">
        <v>Precio (millones COP)</v>
      </c>
      <c r="C4" t="str">
        <v>Calidad (escala de 1 a 10)</v>
      </c>
      <c r="D4" t="str">
        <v>Tiempo de entrega (días)</v>
      </c>
      <c r="E4" t="str">
        <v>Experiencia (años)</v>
      </c>
      <c r="F4" t="str">
        <v>Cobertura (ciudades)</v>
      </c>
    </row>
    <row r="5">
      <c r="A5" t="str">
        <v>Proveedor de prueba A</v>
      </c>
      <c r="B5">
        <v>420</v>
      </c>
      <c r="C5">
        <v>8</v>
      </c>
      <c r="D5">
        <v>15</v>
      </c>
      <c r="E5">
        <v>12</v>
      </c>
      <c r="F5">
        <v>6</v>
      </c>
    </row>
    <row r="6">
      <c r="A6" t="str">
        <v>Proveedor de prueba B</v>
      </c>
      <c r="B6">
        <v>380</v>
      </c>
      <c r="C6">
        <v>7</v>
      </c>
      <c r="D6">
        <v>20</v>
      </c>
      <c r="E6">
        <v>8</v>
      </c>
      <c r="F6">
        <v>4</v>
      </c>
    </row>
    <row r="7">
      <c r="A7" t="str">
        <v>Proveedor de prueba C</v>
      </c>
      <c r="B7">
        <v>510</v>
      </c>
      <c r="C7">
        <v>9</v>
      </c>
      <c r="D7">
        <v>10</v>
      </c>
      <c r="E7">
        <v>20</v>
      </c>
      <c r="F7">
        <v>9</v>
      </c>
    </row>
    <row r="8">
      <c r="A8" t="str">
        <v>Proveedor de prueba D</v>
      </c>
      <c r="B8">
        <v>350</v>
      </c>
      <c r="C8">
        <v>6</v>
      </c>
      <c r="D8">
        <v>25</v>
      </c>
      <c r="E8">
        <v>5</v>
      </c>
      <c r="F8">
        <v>3</v>
      </c>
    </row>
    <row r="9">
      <c r="A9" t="str">
        <v>Proveedor de prueba E</v>
      </c>
      <c r="B9">
        <v>460</v>
      </c>
      <c r="C9">
        <v>8</v>
      </c>
      <c r="D9">
        <v>12</v>
      </c>
      <c r="E9">
        <v>15</v>
      </c>
      <c r="F9">
        <v>12</v>
      </c>
    </row>
    <row r="11">
      <c r="A11" t="str">
        <v>Valores en la unidad original de cada criterio. Todos deben ser mayores que cero.</v>
      </c>
    </row>
  </sheetData>
  <hyperlinks>
    <hyperlink ref="A2" location="'Menu'!A1" tooltip="Ir al menú"/>
  </hyperlinks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4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Normalización vectorial: x* = x / raíz(suma de cuadrados de la columna)</v>
      </c>
    </row>
    <row r="2">
      <c r="A2" t="str">
        <v>Volver al menú</v>
      </c>
    </row>
    <row r="4">
      <c r="A4" t="str">
        <v>Alternativa</v>
      </c>
      <c r="B4" t="str">
        <v>Precio</v>
      </c>
      <c r="C4" t="str">
        <v>Calidad</v>
      </c>
      <c r="D4" t="str">
        <v>Tiempo de entrega</v>
      </c>
      <c r="E4" t="str">
        <v>Experiencia</v>
      </c>
      <c r="F4" t="str">
        <v>Cobertura</v>
      </c>
    </row>
    <row r="5">
      <c r="A5" t="str">
        <v>Raíz de la suma de cuadrados</v>
      </c>
      <c r="B5" s="3">
        <f>SQRT(SUMSQ('Matriz'!$B$5:$B$9))</f>
        <v>956.5563234854495</v>
      </c>
      <c r="C5" s="3">
        <f>SQRT(SUMSQ('Matriz'!$C$5:$C$9))</f>
        <v>17.146428199482248</v>
      </c>
      <c r="D5" s="3">
        <f>SQRT(SUMSQ('Matriz'!$D$5:$D$9))</f>
        <v>38.65229618017538</v>
      </c>
      <c r="E5" s="3">
        <f>SQRT(SUMSQ('Matriz'!$E$5:$E$9))</f>
        <v>29.29163703175362</v>
      </c>
      <c r="F5" s="3">
        <f>SQRT(SUMSQ('Matriz'!$F$5:$F$9))</f>
        <v>16.911534525287763</v>
      </c>
    </row>
    <row r="6">
      <c r="A6" t="str">
        <v>Proveedor de prueba A</v>
      </c>
      <c r="B6" s="3">
        <f>'Matriz'!B5/B$5</f>
        <v>0.439075033731026</v>
      </c>
      <c r="C6" s="3">
        <f>'Matriz'!C5/C$5</f>
        <v>0.46656947481584343</v>
      </c>
      <c r="D6" s="3">
        <f>'Matriz'!D5/D$5</f>
        <v>0.3880752628531664</v>
      </c>
      <c r="E6" s="3">
        <f>'Matriz'!E5/E$5</f>
        <v>0.40967324519935133</v>
      </c>
      <c r="F6" s="3">
        <f>'Matriz'!F5/F$5</f>
        <v>0.35478743759344955</v>
      </c>
    </row>
    <row r="7">
      <c r="A7" t="str">
        <v>Proveedor de prueba B</v>
      </c>
      <c r="B7" s="3">
        <f>'Matriz'!B6/B$5</f>
        <v>0.3972583638518807</v>
      </c>
      <c r="C7" s="3">
        <f>'Matriz'!C6/C$5</f>
        <v>0.40824829046386296</v>
      </c>
      <c r="D7" s="3">
        <f>'Matriz'!D6/D$5</f>
        <v>0.5174336838042219</v>
      </c>
      <c r="E7" s="3">
        <f>'Matriz'!E6/E$5</f>
        <v>0.27311549679956754</v>
      </c>
      <c r="F7" s="3">
        <f>'Matriz'!F6/F$5</f>
        <v>0.23652495839563303</v>
      </c>
    </row>
    <row r="8">
      <c r="A8" t="str">
        <v>Proveedor de prueba C</v>
      </c>
      <c r="B8" s="3">
        <f>'Matriz'!B7/B$5</f>
        <v>0.5331625409591031</v>
      </c>
      <c r="C8" s="3">
        <f>'Matriz'!C7/C$5</f>
        <v>0.5248906591678238</v>
      </c>
      <c r="D8" s="3">
        <f>'Matriz'!D7/D$5</f>
        <v>0.25871684190211097</v>
      </c>
      <c r="E8" s="3">
        <f>'Matriz'!E7/E$5</f>
        <v>0.6827887419989188</v>
      </c>
      <c r="F8" s="3">
        <f>'Matriz'!F7/F$5</f>
        <v>0.5321811563901744</v>
      </c>
    </row>
    <row r="9">
      <c r="A9" t="str">
        <v>Proveedor de prueba D</v>
      </c>
      <c r="B9" s="3">
        <f>'Matriz'!B8/B$5</f>
        <v>0.3658958614425217</v>
      </c>
      <c r="C9" s="3">
        <f>'Matriz'!C8/C$5</f>
        <v>0.34992710611188255</v>
      </c>
      <c r="D9" s="3">
        <f>'Matriz'!D8/D$5</f>
        <v>0.6467921047552774</v>
      </c>
      <c r="E9" s="3">
        <f>'Matriz'!E8/E$5</f>
        <v>0.1706971854997297</v>
      </c>
      <c r="F9" s="3">
        <f>'Matriz'!F8/F$5</f>
        <v>0.17739371879672478</v>
      </c>
    </row>
    <row r="10">
      <c r="A10" t="str">
        <v>Proveedor de prueba E</v>
      </c>
      <c r="B10" s="3">
        <f>'Matriz'!B9/B$5</f>
        <v>0.48089170361017136</v>
      </c>
      <c r="C10" s="3">
        <f>'Matriz'!C9/C$5</f>
        <v>0.46656947481584343</v>
      </c>
      <c r="D10" s="3">
        <f>'Matriz'!D9/D$5</f>
        <v>0.3104602102825331</v>
      </c>
      <c r="E10" s="3">
        <f>'Matriz'!E9/E$5</f>
        <v>0.5120915564991891</v>
      </c>
      <c r="F10" s="3">
        <f>'Matriz'!F9/F$5</f>
        <v>0.7095748751868991</v>
      </c>
    </row>
    <row r="12">
      <c r="A12" t="str">
        <v>Los valores normalizados no tienen unidades. Los tres métodos parten de esta matriz.</v>
      </c>
    </row>
  </sheetData>
  <hyperlinks>
    <hyperlink ref="A2" location="'Menu'!A1" tooltip="Ir al menú"/>
  </hyperlinks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4.83203125" customWidth="1"/>
    <col min="8" max="8" width="10.83203125" customWidth="1"/>
  </cols>
  <sheetData>
    <row r="1">
      <c r="A1" t="str">
        <v>Sistema de razones: y = suma de (signo × peso × valor normalizado)</v>
      </c>
    </row>
    <row r="2">
      <c r="A2" t="str">
        <v>Volver al menú</v>
      </c>
    </row>
    <row r="4">
      <c r="A4" t="str">
        <v>Alternativa</v>
      </c>
      <c r="B4" t="str">
        <v>Precio</v>
      </c>
      <c r="C4" t="str">
        <v>Calidad</v>
      </c>
      <c r="D4" t="str">
        <v>Tiempo de entrega</v>
      </c>
      <c r="E4" t="str">
        <v>Experiencia</v>
      </c>
      <c r="F4" t="str">
        <v>Cobertura</v>
      </c>
      <c r="G4" t="str">
        <v>y</v>
      </c>
      <c r="H4" t="str">
        <v>Posición</v>
      </c>
    </row>
    <row r="5">
      <c r="A5" t="str">
        <v>Signo × peso</v>
      </c>
      <c r="B5" s="2">
        <f>'Criterios'!E5*'Criterios'!F5</f>
        <v>-0.03082280446641544</v>
      </c>
      <c r="C5" s="2">
        <f>'Criterios'!E6*'Criterios'!F6</f>
        <v>0.03165099201836584</v>
      </c>
      <c r="D5" s="2">
        <f>'Criterios'!E7*'Criterios'!F7</f>
        <v>-0.18840488565436472</v>
      </c>
      <c r="E5" s="2">
        <f>'Criterios'!E8*'Criterios'!F8</f>
        <v>0.34193427737979215</v>
      </c>
      <c r="F5" s="2">
        <f>'Criterios'!E9*'Criterios'!F9</f>
        <v>0.40718704048106186</v>
      </c>
    </row>
    <row r="6">
      <c r="A6" t="str">
        <v>Proveedor de prueba A</v>
      </c>
      <c r="B6" s="3">
        <f>B$5*'Normalizacion'!B6</f>
        <v>-0.013533523910776179</v>
      </c>
      <c r="C6" s="3">
        <f>C$5*'Normalizacion'!C6</f>
        <v>0.014767386723409402</v>
      </c>
      <c r="D6" s="3">
        <f>D$5*'Normalizacion'!D6</f>
        <v>-0.07311527552313835</v>
      </c>
      <c r="E6" s="3">
        <f>E$5*'Normalizacion'!E6</f>
        <v>0.1400813250590746</v>
      </c>
      <c r="F6" s="3">
        <f>F$5*'Normalizacion'!F6</f>
        <v>0.14446484671353615</v>
      </c>
      <c r="G6" s="3">
        <f>SUM(B6:F6)</f>
        <v>0.21266475906210563</v>
      </c>
      <c r="H6" s="1">
        <f>RANK(G6,$G$6:$G$10,0)</f>
        <v>3</v>
      </c>
    </row>
    <row r="7">
      <c r="A7" t="str">
        <v>Proveedor de prueba B</v>
      </c>
      <c r="B7" s="3">
        <f>B$5*'Normalizacion'!B7</f>
        <v>-0.012244616871654637</v>
      </c>
      <c r="C7" s="3">
        <f>C$5*'Normalizacion'!C7</f>
        <v>0.012921463382983226</v>
      </c>
      <c r="D7" s="3">
        <f>D$5*'Normalizacion'!D7</f>
        <v>-0.09748703403085114</v>
      </c>
      <c r="E7" s="3">
        <f>E$5*'Normalizacion'!E7</f>
        <v>0.09338755003938307</v>
      </c>
      <c r="F7" s="3">
        <f>F$5*'Normalizacion'!F7</f>
        <v>0.0963098978090241</v>
      </c>
      <c r="G7" s="3">
        <f>SUM(B7:F7)</f>
        <v>0.09288726032888461</v>
      </c>
      <c r="H7" s="1">
        <f>RANK(G7,$G$6:$G$10,0)</f>
        <v>4</v>
      </c>
    </row>
    <row r="8">
      <c r="A8" t="str">
        <v>Proveedor de prueba C</v>
      </c>
      <c r="B8" s="3">
        <f>B$5*'Normalizacion'!B8</f>
        <v>-0.01643356474879965</v>
      </c>
      <c r="C8" s="3">
        <f>C$5*'Normalizacion'!C8</f>
        <v>0.01661331006383558</v>
      </c>
      <c r="D8" s="3">
        <f>D$5*'Normalizacion'!D8</f>
        <v>-0.04874351701542557</v>
      </c>
      <c r="E8" s="3">
        <f>E$5*'Normalizacion'!E8</f>
        <v>0.23346887509845765</v>
      </c>
      <c r="F8" s="3">
        <f>F$5*'Normalizacion'!F8</f>
        <v>0.21669727007030426</v>
      </c>
      <c r="G8" s="3">
        <f>SUM(B8:F8)</f>
        <v>0.40160237346837224</v>
      </c>
      <c r="H8" s="1">
        <f>RANK(G8,$G$6:$G$10,0)</f>
        <v>2</v>
      </c>
    </row>
    <row r="9">
      <c r="A9" t="str">
        <v>Proveedor de prueba D</v>
      </c>
      <c r="B9" s="3">
        <f>B$5*'Normalizacion'!B9</f>
        <v>-0.011277936592313482</v>
      </c>
      <c r="C9" s="3">
        <f>C$5*'Normalizacion'!C9</f>
        <v>0.01107554004255705</v>
      </c>
      <c r="D9" s="3">
        <f>D$5*'Normalizacion'!D9</f>
        <v>-0.12185879253856392</v>
      </c>
      <c r="E9" s="3">
        <f>E$5*'Normalizacion'!E9</f>
        <v>0.05836721877461441</v>
      </c>
      <c r="F9" s="3">
        <f>F$5*'Normalizacion'!F9</f>
        <v>0.07223242335676808</v>
      </c>
      <c r="G9" s="3">
        <f>SUM(B9:F9)</f>
        <v>0.008538453043062139</v>
      </c>
      <c r="H9" s="1">
        <f>RANK(G9,$G$6:$G$10,0)</f>
        <v>5</v>
      </c>
    </row>
    <row r="10">
      <c r="A10" t="str">
        <v>Proveedor de prueba E</v>
      </c>
      <c r="B10" s="3">
        <f>B$5*'Normalizacion'!B10</f>
        <v>-0.01482243094989772</v>
      </c>
      <c r="C10" s="3">
        <f>C$5*'Normalizacion'!C10</f>
        <v>0.014767386723409402</v>
      </c>
      <c r="D10" s="3">
        <f>D$5*'Normalizacion'!D10</f>
        <v>-0.05849222041851068</v>
      </c>
      <c r="E10" s="3">
        <f>E$5*'Normalizacion'!E10</f>
        <v>0.17510165632384325</v>
      </c>
      <c r="F10" s="3">
        <f>F$5*'Normalizacion'!F10</f>
        <v>0.2889296934270723</v>
      </c>
      <c r="G10" s="3">
        <f>SUM(B10:F10)</f>
        <v>0.40548408510591655</v>
      </c>
      <c r="H10" s="1">
        <f>RANK(G10,$G$6:$G$10,0)</f>
        <v>1</v>
      </c>
    </row>
    <row r="12">
      <c r="A12" t="str">
        <v>Mayor y es mejor. Los criterios que se minimizan aportan con signo negativo.</v>
      </c>
    </row>
  </sheetData>
  <hyperlinks>
    <hyperlink ref="A2" location="'Menu'!A1" tooltip="Ir al menú"/>
  </hyperlinks>
  <ignoredErrors>
    <ignoredError numberStoredAsText="1" sqref="A1:H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44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4.83203125" customWidth="1"/>
    <col min="8" max="8" width="10.83203125" customWidth="1"/>
  </cols>
  <sheetData>
    <row r="1">
      <c r="A1" t="str">
        <v>Punto de referencia: z = máximo de peso × |r − valor normalizado|</v>
      </c>
    </row>
    <row r="2">
      <c r="A2" t="str">
        <v>Volver al menú</v>
      </c>
    </row>
    <row r="4">
      <c r="A4" t="str">
        <v>Alternativa</v>
      </c>
      <c r="B4" t="str">
        <v>Precio</v>
      </c>
      <c r="C4" t="str">
        <v>Calidad</v>
      </c>
      <c r="D4" t="str">
        <v>Tiempo de entrega</v>
      </c>
      <c r="E4" t="str">
        <v>Experiencia</v>
      </c>
      <c r="F4" t="str">
        <v>Cobertura</v>
      </c>
      <c r="G4" t="str">
        <v>z</v>
      </c>
      <c r="H4" t="str">
        <v>Posición</v>
      </c>
    </row>
    <row r="5">
      <c r="A5" t="str">
        <v>Peso</v>
      </c>
      <c r="B5" s="2">
        <f>'Criterios'!F5</f>
        <v>0.03082280446641544</v>
      </c>
      <c r="C5" s="2">
        <f>'Criterios'!F6</f>
        <v>0.03165099201836584</v>
      </c>
      <c r="D5" s="2">
        <f>'Criterios'!F7</f>
        <v>0.18840488565436472</v>
      </c>
      <c r="E5" s="2">
        <f>'Criterios'!F8</f>
        <v>0.34193427737979215</v>
      </c>
      <c r="F5" s="2">
        <f>'Criterios'!F9</f>
        <v>0.40718704048106186</v>
      </c>
    </row>
    <row r="6">
      <c r="A6" t="str">
        <v>Punto de referencia r (mejor valor normalizado)</v>
      </c>
      <c r="B6" s="3">
        <f>IF('Criterios'!E5&lt;0,MIN('Normalizacion'!$B$6:$B$10),MAX('Normalizacion'!$B$6:$B$10))</f>
        <v>0.3658958614425217</v>
      </c>
      <c r="C6" s="3">
        <f>IF('Criterios'!E6&lt;0,MIN('Normalizacion'!$C$6:$C$10),MAX('Normalizacion'!$C$6:$C$10))</f>
        <v>0.5248906591678238</v>
      </c>
      <c r="D6" s="3">
        <f>IF('Criterios'!E7&lt;0,MIN('Normalizacion'!$D$6:$D$10),MAX('Normalizacion'!$D$6:$D$10))</f>
        <v>0.25871684190211097</v>
      </c>
      <c r="E6" s="3">
        <f>IF('Criterios'!E8&lt;0,MIN('Normalizacion'!$E$6:$E$10),MAX('Normalizacion'!$E$6:$E$10))</f>
        <v>0.6827887419989188</v>
      </c>
      <c r="F6" s="3">
        <f>IF('Criterios'!E9&lt;0,MIN('Normalizacion'!$F$6:$F$10),MAX('Normalizacion'!$F$6:$F$10))</f>
        <v>0.7095748751868991</v>
      </c>
    </row>
    <row r="7">
      <c r="A7" t="str">
        <v>Proveedor de prueba A</v>
      </c>
      <c r="B7" s="3">
        <f>B$5*ABS(B$6-'Normalizacion'!B6)</f>
        <v>0.0022555873184626966</v>
      </c>
      <c r="C7" s="3">
        <f>C$5*ABS(C$6-'Normalizacion'!C6)</f>
        <v>0.0018459233404261748</v>
      </c>
      <c r="D7" s="3">
        <f>D$5*ABS(D$6-'Normalizacion'!D6)</f>
        <v>0.024371758507712775</v>
      </c>
      <c r="E7" s="3">
        <f>E$5*ABS(E$6-'Normalizacion'!E6)</f>
        <v>0.09338755003938304</v>
      </c>
      <c r="F7" s="3">
        <f>F$5*ABS(F$6-'Normalizacion'!F6)</f>
        <v>0.14446484671353615</v>
      </c>
      <c r="G7" s="3">
        <f>MAX(B7:F7)</f>
        <v>0.14446484671353615</v>
      </c>
      <c r="H7" s="1">
        <f>RANK(G7,$G$7:$G$11,1)</f>
        <v>3</v>
      </c>
    </row>
    <row r="8">
      <c r="A8" t="str">
        <v>Proveedor de prueba B</v>
      </c>
      <c r="B8" s="3">
        <f>B$5*ABS(B$6-'Normalizacion'!B7)</f>
        <v>0.0009666802793411557</v>
      </c>
      <c r="C8" s="3">
        <f>C$5*ABS(C$6-'Normalizacion'!C7)</f>
        <v>0.0036918466808523514</v>
      </c>
      <c r="D8" s="3">
        <f>D$5*ABS(D$6-'Normalizacion'!D7)</f>
        <v>0.04874351701542557</v>
      </c>
      <c r="E8" s="3">
        <f>E$5*ABS(E$6-'Normalizacion'!E7)</f>
        <v>0.14008132505907459</v>
      </c>
      <c r="F8" s="3">
        <f>F$5*ABS(F$6-'Normalizacion'!F7)</f>
        <v>0.1926197956180482</v>
      </c>
      <c r="G8" s="3">
        <f>MAX(B8:F8)</f>
        <v>0.1926197956180482</v>
      </c>
      <c r="H8" s="1">
        <f>RANK(G8,$G$7:$G$11,1)</f>
        <v>4</v>
      </c>
    </row>
    <row r="9">
      <c r="A9" t="str">
        <v>Proveedor de prueba C</v>
      </c>
      <c r="B9" s="3">
        <f>B$5*ABS(B$6-'Normalizacion'!B8)</f>
        <v>0.005155628156486166</v>
      </c>
      <c r="C9" s="3">
        <f>C$5*ABS(C$6-'Normalizacion'!C8)</f>
        <v>0</v>
      </c>
      <c r="D9" s="3">
        <f>D$5*ABS(D$6-'Normalizacion'!D8)</f>
        <v>0</v>
      </c>
      <c r="E9" s="3">
        <f>E$5*ABS(E$6-'Normalizacion'!E8)</f>
        <v>0</v>
      </c>
      <c r="F9" s="3">
        <f>F$5*ABS(F$6-'Normalizacion'!F8)</f>
        <v>0.07223242335676805</v>
      </c>
      <c r="G9" s="3">
        <f>MAX(B9:F9)</f>
        <v>0.07223242335676805</v>
      </c>
      <c r="H9" s="1">
        <f>RANK(G9,$G$7:$G$11,1)</f>
        <v>2</v>
      </c>
    </row>
    <row r="10">
      <c r="A10" t="str">
        <v>Proveedor de prueba D</v>
      </c>
      <c r="B10" s="3">
        <f>B$5*ABS(B$6-'Normalizacion'!B9)</f>
        <v>0</v>
      </c>
      <c r="C10" s="3">
        <f>C$5*ABS(C$6-'Normalizacion'!C9)</f>
        <v>0.005537770021278526</v>
      </c>
      <c r="D10" s="3">
        <f>D$5*ABS(D$6-'Normalizacion'!D9)</f>
        <v>0.07311527552313835</v>
      </c>
      <c r="E10" s="3">
        <f>E$5*ABS(E$6-'Normalizacion'!E9)</f>
        <v>0.17510165632384325</v>
      </c>
      <c r="F10" s="3">
        <f>F$5*ABS(F$6-'Normalizacion'!F9)</f>
        <v>0.21669727007030426</v>
      </c>
      <c r="G10" s="3">
        <f>MAX(B10:F10)</f>
        <v>0.21669727007030426</v>
      </c>
      <c r="H10" s="1">
        <f>RANK(G10,$G$7:$G$11,1)</f>
        <v>5</v>
      </c>
    </row>
    <row r="11">
      <c r="A11" t="str">
        <v>Proveedor de prueba E</v>
      </c>
      <c r="B11" s="3">
        <f>B$5*ABS(B$6-'Normalizacion'!B10)</f>
        <v>0.003544494357584238</v>
      </c>
      <c r="C11" s="3">
        <f>C$5*ABS(C$6-'Normalizacion'!C10)</f>
        <v>0.0018459233404261748</v>
      </c>
      <c r="D11" s="3">
        <f>D$5*ABS(D$6-'Normalizacion'!D10)</f>
        <v>0.009748703403085106</v>
      </c>
      <c r="E11" s="3">
        <f>E$5*ABS(E$6-'Normalizacion'!E10)</f>
        <v>0.0583672187746144</v>
      </c>
      <c r="F11" s="3">
        <f>F$5*ABS(F$6-'Normalizacion'!F10)</f>
        <v>0</v>
      </c>
      <c r="G11" s="3">
        <f>MAX(B11:F11)</f>
        <v>0.0583672187746144</v>
      </c>
      <c r="H11" s="1">
        <f>RANK(G11,$G$7:$G$11,1)</f>
        <v>1</v>
      </c>
    </row>
    <row r="13">
      <c r="A13" t="str">
        <v>Menor z es mejor. La referencia es el máximo de la columna si el criterio se maximiza y el mínimo si se minimiza.</v>
      </c>
    </row>
  </sheetData>
  <hyperlinks>
    <hyperlink ref="A2" location="'Menu'!A1" tooltip="Ir al menú"/>
  </hyperlinks>
  <ignoredErrors>
    <ignoredError numberStoredAsText="1" sqref="A1:H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4.83203125" customWidth="1"/>
    <col min="8" max="8" width="10.83203125" customWidth="1"/>
  </cols>
  <sheetData>
    <row r="1">
      <c r="A1" t="str">
        <v>Forma multiplicativa completa: U = producto de (valor normalizado ^ (signo × peso))</v>
      </c>
    </row>
    <row r="2">
      <c r="A2" t="str">
        <v>Volver al menú</v>
      </c>
    </row>
    <row r="4">
      <c r="A4" t="str">
        <v>Alternativa</v>
      </c>
      <c r="B4" t="str">
        <v>Precio</v>
      </c>
      <c r="C4" t="str">
        <v>Calidad</v>
      </c>
      <c r="D4" t="str">
        <v>Tiempo de entrega</v>
      </c>
      <c r="E4" t="str">
        <v>Experiencia</v>
      </c>
      <c r="F4" t="str">
        <v>Cobertura</v>
      </c>
      <c r="G4" t="str">
        <v>U</v>
      </c>
      <c r="H4" t="str">
        <v>Posición</v>
      </c>
    </row>
    <row r="5">
      <c r="A5" t="str">
        <v>Exponente (signo × peso)</v>
      </c>
      <c r="B5" s="2">
        <f>'Criterios'!E5*'Criterios'!F5</f>
        <v>-0.03082280446641544</v>
      </c>
      <c r="C5" s="2">
        <f>'Criterios'!E6*'Criterios'!F6</f>
        <v>0.03165099201836584</v>
      </c>
      <c r="D5" s="2">
        <f>'Criterios'!E7*'Criterios'!F7</f>
        <v>-0.18840488565436472</v>
      </c>
      <c r="E5" s="2">
        <f>'Criterios'!E8*'Criterios'!F8</f>
        <v>0.34193427737979215</v>
      </c>
      <c r="F5" s="2">
        <f>'Criterios'!E9*'Criterios'!F9</f>
        <v>0.40718704048106186</v>
      </c>
    </row>
    <row r="6">
      <c r="A6" t="str">
        <v>Proveedor de prueba A</v>
      </c>
      <c r="B6" s="3">
        <f>'Normalizacion'!B6^B$5</f>
        <v>1.0256943386402082</v>
      </c>
      <c r="C6" s="3">
        <f>'Normalizacion'!C6^C$5</f>
        <v>0.9761596976745782</v>
      </c>
      <c r="D6" s="3">
        <f>'Normalizacion'!D6^D$5</f>
        <v>1.195226576893616</v>
      </c>
      <c r="E6" s="3">
        <f>'Normalizacion'!E6^E$5</f>
        <v>0.7370197596563004</v>
      </c>
      <c r="F6" s="3">
        <f>'Normalizacion'!F6^F$5</f>
        <v>0.655772041798537</v>
      </c>
      <c r="G6" s="3">
        <f>PRODUCT(B6:F6)</f>
        <v>0.5783904340690289</v>
      </c>
      <c r="H6" s="1">
        <f>RANK(G6,$G$6:$G$10,0)</f>
        <v>3</v>
      </c>
    </row>
    <row r="7">
      <c r="A7" t="str">
        <v>Proveedor de prueba B</v>
      </c>
      <c r="B7" s="3">
        <f>'Normalizacion'!B7^B$5</f>
        <v>1.0288633402067102</v>
      </c>
      <c r="C7" s="3">
        <f>'Normalizacion'!C7^C$5</f>
        <v>0.9720427613512131</v>
      </c>
      <c r="D7" s="3">
        <f>'Normalizacion'!D7^D$5</f>
        <v>1.1321687753967136</v>
      </c>
      <c r="E7" s="3">
        <f>'Normalizacion'!E7^E$5</f>
        <v>0.641604637158397</v>
      </c>
      <c r="F7" s="3">
        <f>'Normalizacion'!F7^F$5</f>
        <v>0.555969309455318</v>
      </c>
      <c r="G7" s="3">
        <f>PRODUCT(B7:F7)</f>
        <v>0.4038987871966849</v>
      </c>
      <c r="H7" s="1">
        <f>RANK(G7,$G$6:$G$10,0)</f>
        <v>4</v>
      </c>
    </row>
    <row r="8">
      <c r="A8" t="str">
        <v>Proveedor de prueba C</v>
      </c>
      <c r="B8" s="3">
        <f>'Normalizacion'!B8^B$5</f>
        <v>1.0195744699624927</v>
      </c>
      <c r="C8" s="3">
        <f>'Normalizacion'!C8^C$5</f>
        <v>0.9798055637234797</v>
      </c>
      <c r="D8" s="3">
        <f>'Normalizacion'!D8^D$5</f>
        <v>1.2901098616742852</v>
      </c>
      <c r="E8" s="3">
        <f>'Normalizacion'!E8^E$5</f>
        <v>0.8776812557691248</v>
      </c>
      <c r="F8" s="3">
        <f>'Normalizacion'!F8^F$5</f>
        <v>0.7734904849800586</v>
      </c>
      <c r="G8" s="3">
        <f>PRODUCT(B8:F8)</f>
        <v>0.8749381379742887</v>
      </c>
      <c r="H8" s="1">
        <f>RANK(G8,$G$6:$G$10,0)</f>
        <v>1</v>
      </c>
    </row>
    <row r="9">
      <c r="A9" t="str">
        <v>Proveedor de prueba D</v>
      </c>
      <c r="B9" s="3">
        <f>'Normalizacion'!B9^B$5</f>
        <v>1.0314746202273741</v>
      </c>
      <c r="C9" s="3">
        <f>'Normalizacion'!C9^C$5</f>
        <v>0.9673116942702655</v>
      </c>
      <c r="D9" s="3">
        <f>'Normalizacion'!D9^D$5</f>
        <v>1.0855575524938745</v>
      </c>
      <c r="E9" s="3">
        <f>'Normalizacion'!E9^E$5</f>
        <v>0.5463511673701799</v>
      </c>
      <c r="F9" s="3">
        <f>'Normalizacion'!F9^F$5</f>
        <v>0.4945126253206963</v>
      </c>
      <c r="G9" s="3">
        <f>PRODUCT(B9:F9)</f>
        <v>0.2926355588683304</v>
      </c>
      <c r="H9" s="1">
        <f>RANK(G9,$G$6:$G$10,0)</f>
        <v>5</v>
      </c>
    </row>
    <row r="10">
      <c r="A10" t="str">
        <v>Proveedor de prueba E</v>
      </c>
      <c r="B10" s="3">
        <f>'Normalizacion'!B10^B$5</f>
        <v>1.0228223147130349</v>
      </c>
      <c r="C10" s="3">
        <f>'Normalizacion'!C10^C$5</f>
        <v>0.9761596976745782</v>
      </c>
      <c r="D10" s="3">
        <f>'Normalizacion'!D10^D$5</f>
        <v>1.2465467231788128</v>
      </c>
      <c r="E10" s="3">
        <f>'Normalizacion'!E10^E$5</f>
        <v>0.7954556791200162</v>
      </c>
      <c r="F10" s="3">
        <f>'Normalizacion'!F10^F$5</f>
        <v>0.8696177787690234</v>
      </c>
      <c r="G10" s="3">
        <f>PRODUCT(B10:F10)</f>
        <v>0.8609422595314609</v>
      </c>
      <c r="H10" s="1">
        <f>RANK(G10,$G$6:$G$10,0)</f>
        <v>2</v>
      </c>
    </row>
    <row r="12">
      <c r="A12" t="str">
        <v>Mayor U es mejor. El exponente negativo de los criterios que se minimizan equivale a dividir por ellos.</v>
      </c>
    </row>
  </sheetData>
  <hyperlinks>
    <hyperlink ref="A2" location="'Menu'!A1" tooltip="Ir al menú"/>
  </hyperlinks>
  <ignoredErrors>
    <ignoredError numberStoredAsText="1" sqref="A1:H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cols>
    <col min="1" max="1" width="30.83203125" customWidth="1"/>
    <col min="2" max="2" width="23.83203125" customWidth="1"/>
    <col min="3" max="3" width="23.83203125" customWidth="1"/>
    <col min="4" max="4" width="23.83203125" customWidth="1"/>
    <col min="5" max="5" width="23.83203125" customWidth="1"/>
    <col min="6" max="6" width="23.83203125" customWidth="1"/>
    <col min="7" max="7" width="14.83203125" customWidth="1"/>
    <col min="8" max="8" width="14.83203125" customWidth="1"/>
    <col min="9" max="9" width="10.83203125" customWidth="1"/>
    <col min="10" max="10" width="14.83203125" customWidth="1"/>
  </cols>
  <sheetData>
    <row r="1">
      <c r="A1" t="str">
        <v>Teoría de dominancia: comparación por pares entre los tres métodos</v>
      </c>
    </row>
    <row r="2">
      <c r="A2" t="str">
        <v>Volver al menú</v>
      </c>
    </row>
    <row r="3">
      <c r="A3" t="str">
        <v>A. Métodos en los que la fila queda mejor ubicada que la columna (de 0 a 3)</v>
      </c>
    </row>
    <row r="4">
      <c r="A4" t="str">
        <v>Fila frente a columna</v>
      </c>
      <c r="B4" t="str">
        <v>Proveedor de prueba A</v>
      </c>
      <c r="C4" t="str">
        <v>Proveedor de prueba B</v>
      </c>
      <c r="D4" t="str">
        <v>Proveedor de prueba C</v>
      </c>
      <c r="E4" t="str">
        <v>Proveedor de prueba D</v>
      </c>
      <c r="F4" t="str">
        <v>Proveedor de prueba E</v>
      </c>
    </row>
    <row r="5">
      <c r="A5" t="str">
        <v>Proveedor de prueba A</v>
      </c>
      <c r="C5" s="1">
        <f>('Razones'!$H$6&lt;'Razones'!$H$7)+('Referencia'!$H$7&lt;'Referencia'!$H$8)+('Multiplicativa'!$H$6&lt;'Multiplicativa'!$H$7)</f>
        <v>3</v>
      </c>
      <c r="D5" s="1">
        <f>('Razones'!$H$6&lt;'Razones'!$H$8)+('Referencia'!$H$7&lt;'Referencia'!$H$9)+('Multiplicativa'!$H$6&lt;'Multiplicativa'!$H$8)</f>
        <v>0</v>
      </c>
      <c r="E5" s="1">
        <f>('Razones'!$H$6&lt;'Razones'!$H$9)+('Referencia'!$H$7&lt;'Referencia'!$H$10)+('Multiplicativa'!$H$6&lt;'Multiplicativa'!$H$9)</f>
        <v>3</v>
      </c>
      <c r="F5" s="1">
        <f>('Razones'!$H$6&lt;'Razones'!$H$10)+('Referencia'!$H$7&lt;'Referencia'!$H$11)+('Multiplicativa'!$H$6&lt;'Multiplicativa'!$H$10)</f>
        <v>0</v>
      </c>
    </row>
    <row r="6">
      <c r="A6" t="str">
        <v>Proveedor de prueba B</v>
      </c>
      <c r="B6" s="1">
        <f>('Razones'!$H$7&lt;'Razones'!$H$6)+('Referencia'!$H$8&lt;'Referencia'!$H$7)+('Multiplicativa'!$H$7&lt;'Multiplicativa'!$H$6)</f>
        <v>0</v>
      </c>
      <c r="D6" s="1">
        <f>('Razones'!$H$7&lt;'Razones'!$H$8)+('Referencia'!$H$8&lt;'Referencia'!$H$9)+('Multiplicativa'!$H$7&lt;'Multiplicativa'!$H$8)</f>
        <v>0</v>
      </c>
      <c r="E6" s="1">
        <f>('Razones'!$H$7&lt;'Razones'!$H$9)+('Referencia'!$H$8&lt;'Referencia'!$H$10)+('Multiplicativa'!$H$7&lt;'Multiplicativa'!$H$9)</f>
        <v>3</v>
      </c>
      <c r="F6" s="1">
        <f>('Razones'!$H$7&lt;'Razones'!$H$10)+('Referencia'!$H$8&lt;'Referencia'!$H$11)+('Multiplicativa'!$H$7&lt;'Multiplicativa'!$H$10)</f>
        <v>0</v>
      </c>
    </row>
    <row r="7">
      <c r="A7" t="str">
        <v>Proveedor de prueba C</v>
      </c>
      <c r="B7" s="1">
        <f>('Razones'!$H$8&lt;'Razones'!$H$6)+('Referencia'!$H$9&lt;'Referencia'!$H$7)+('Multiplicativa'!$H$8&lt;'Multiplicativa'!$H$6)</f>
        <v>3</v>
      </c>
      <c r="C7" s="1">
        <f>('Razones'!$H$8&lt;'Razones'!$H$7)+('Referencia'!$H$9&lt;'Referencia'!$H$8)+('Multiplicativa'!$H$8&lt;'Multiplicativa'!$H$7)</f>
        <v>3</v>
      </c>
      <c r="E7" s="1">
        <f>('Razones'!$H$8&lt;'Razones'!$H$9)+('Referencia'!$H$9&lt;'Referencia'!$H$10)+('Multiplicativa'!$H$8&lt;'Multiplicativa'!$H$9)</f>
        <v>3</v>
      </c>
      <c r="F7" s="1">
        <f>('Razones'!$H$8&lt;'Razones'!$H$10)+('Referencia'!$H$9&lt;'Referencia'!$H$11)+('Multiplicativa'!$H$8&lt;'Multiplicativa'!$H$10)</f>
        <v>1</v>
      </c>
    </row>
    <row r="8">
      <c r="A8" t="str">
        <v>Proveedor de prueba D</v>
      </c>
      <c r="B8" s="1">
        <f>('Razones'!$H$9&lt;'Razones'!$H$6)+('Referencia'!$H$10&lt;'Referencia'!$H$7)+('Multiplicativa'!$H$9&lt;'Multiplicativa'!$H$6)</f>
        <v>0</v>
      </c>
      <c r="C8" s="1">
        <f>('Razones'!$H$9&lt;'Razones'!$H$7)+('Referencia'!$H$10&lt;'Referencia'!$H$8)+('Multiplicativa'!$H$9&lt;'Multiplicativa'!$H$7)</f>
        <v>0</v>
      </c>
      <c r="D8" s="1">
        <f>('Razones'!$H$9&lt;'Razones'!$H$8)+('Referencia'!$H$10&lt;'Referencia'!$H$9)+('Multiplicativa'!$H$9&lt;'Multiplicativa'!$H$8)</f>
        <v>0</v>
      </c>
      <c r="F8" s="1">
        <f>('Razones'!$H$9&lt;'Razones'!$H$10)+('Referencia'!$H$10&lt;'Referencia'!$H$11)+('Multiplicativa'!$H$9&lt;'Multiplicativa'!$H$10)</f>
        <v>0</v>
      </c>
    </row>
    <row r="9">
      <c r="A9" t="str">
        <v>Proveedor de prueba E</v>
      </c>
      <c r="B9" s="1">
        <f>('Razones'!$H$10&lt;'Razones'!$H$6)+('Referencia'!$H$11&lt;'Referencia'!$H$7)+('Multiplicativa'!$H$10&lt;'Multiplicativa'!$H$6)</f>
        <v>3</v>
      </c>
      <c r="C9" s="1">
        <f>('Razones'!$H$10&lt;'Razones'!$H$7)+('Referencia'!$H$11&lt;'Referencia'!$H$8)+('Multiplicativa'!$H$10&lt;'Multiplicativa'!$H$7)</f>
        <v>3</v>
      </c>
      <c r="D9" s="1">
        <f>('Razones'!$H$10&lt;'Razones'!$H$8)+('Referencia'!$H$11&lt;'Referencia'!$H$9)+('Multiplicativa'!$H$10&lt;'Multiplicativa'!$H$8)</f>
        <v>2</v>
      </c>
      <c r="E9" s="1">
        <f>('Razones'!$H$10&lt;'Razones'!$H$9)+('Referencia'!$H$11&lt;'Referencia'!$H$10)+('Multiplicativa'!$H$10&lt;'Multiplicativa'!$H$9)</f>
        <v>3</v>
      </c>
    </row>
    <row r="11">
      <c r="A11" t="str">
        <v>B. Resultado del par: 1 si la fila domina, −1 si es dominada, 0 si ninguna domina</v>
      </c>
    </row>
    <row r="12">
      <c r="A12" t="str">
        <v>Fila frente a columna</v>
      </c>
      <c r="B12" t="str">
        <v>Proveedor de prueba A</v>
      </c>
      <c r="C12" t="str">
        <v>Proveedor de prueba B</v>
      </c>
      <c r="D12" t="str">
        <v>Proveedor de prueba C</v>
      </c>
      <c r="E12" t="str">
        <v>Proveedor de prueba D</v>
      </c>
      <c r="F12" t="str">
        <v>Proveedor de prueba E</v>
      </c>
      <c r="G12" t="str">
        <v>Pares ganados</v>
      </c>
      <c r="H12" t="str">
        <v>Pares perdidos</v>
      </c>
      <c r="I12" t="str">
        <v>Puntaje</v>
      </c>
      <c r="J12" t="str">
        <v>Posición final</v>
      </c>
    </row>
    <row r="13">
      <c r="A13" t="str">
        <v>Proveedor de prueba A</v>
      </c>
      <c r="C13" s="1">
        <f>SIGN(C5-B6)</f>
        <v>1</v>
      </c>
      <c r="D13" s="1">
        <f>SIGN(D5-B7)</f>
        <v>-1</v>
      </c>
      <c r="E13" s="1">
        <f>SIGN(E5-B8)</f>
        <v>1</v>
      </c>
      <c r="F13" s="1">
        <f>SIGN(F5-B9)</f>
        <v>-1</v>
      </c>
      <c r="G13" s="1">
        <f>COUNTIF(B13:F13,1)</f>
        <v>2</v>
      </c>
      <c r="H13" s="1">
        <f>COUNTIF(B13:F13,-1)</f>
        <v>2</v>
      </c>
      <c r="I13" s="1">
        <f>G13-H13</f>
        <v>0</v>
      </c>
      <c r="J13" s="1">
        <f>RANK(I13,$I$13:$I$17,0)</f>
        <v>3</v>
      </c>
    </row>
    <row r="14">
      <c r="A14" t="str">
        <v>Proveedor de prueba B</v>
      </c>
      <c r="B14" s="1">
        <f>SIGN(B6-C5)</f>
        <v>-1</v>
      </c>
      <c r="D14" s="1">
        <f>SIGN(D6-C7)</f>
        <v>-1</v>
      </c>
      <c r="E14" s="1">
        <f>SIGN(E6-C8)</f>
        <v>1</v>
      </c>
      <c r="F14" s="1">
        <f>SIGN(F6-C9)</f>
        <v>-1</v>
      </c>
      <c r="G14" s="1">
        <f>COUNTIF(B14:F14,1)</f>
        <v>1</v>
      </c>
      <c r="H14" s="1">
        <f>COUNTIF(B14:F14,-1)</f>
        <v>3</v>
      </c>
      <c r="I14" s="1">
        <f>G14-H14</f>
        <v>-2</v>
      </c>
      <c r="J14" s="1">
        <f>RANK(I14,$I$13:$I$17,0)</f>
        <v>4</v>
      </c>
    </row>
    <row r="15">
      <c r="A15" t="str">
        <v>Proveedor de prueba C</v>
      </c>
      <c r="B15" s="1">
        <f>SIGN(B7-D5)</f>
        <v>1</v>
      </c>
      <c r="C15" s="1">
        <f>SIGN(C7-D6)</f>
        <v>1</v>
      </c>
      <c r="E15" s="1">
        <f>SIGN(E7-D8)</f>
        <v>1</v>
      </c>
      <c r="F15" s="1">
        <f>SIGN(F7-D9)</f>
        <v>-1</v>
      </c>
      <c r="G15" s="1">
        <f>COUNTIF(B15:F15,1)</f>
        <v>3</v>
      </c>
      <c r="H15" s="1">
        <f>COUNTIF(B15:F15,-1)</f>
        <v>1</v>
      </c>
      <c r="I15" s="1">
        <f>G15-H15</f>
        <v>2</v>
      </c>
      <c r="J15" s="1">
        <f>RANK(I15,$I$13:$I$17,0)</f>
        <v>2</v>
      </c>
    </row>
    <row r="16">
      <c r="A16" t="str">
        <v>Proveedor de prueba D</v>
      </c>
      <c r="B16" s="1">
        <f>SIGN(B8-E5)</f>
        <v>-1</v>
      </c>
      <c r="C16" s="1">
        <f>SIGN(C8-E6)</f>
        <v>-1</v>
      </c>
      <c r="D16" s="1">
        <f>SIGN(D8-E7)</f>
        <v>-1</v>
      </c>
      <c r="F16" s="1">
        <f>SIGN(F8-E9)</f>
        <v>-1</v>
      </c>
      <c r="G16" s="1">
        <f>COUNTIF(B16:F16,1)</f>
        <v>0</v>
      </c>
      <c r="H16" s="1">
        <f>COUNTIF(B16:F16,-1)</f>
        <v>4</v>
      </c>
      <c r="I16" s="1">
        <f>G16-H16</f>
        <v>-4</v>
      </c>
      <c r="J16" s="1">
        <f>RANK(I16,$I$13:$I$17,0)</f>
        <v>5</v>
      </c>
    </row>
    <row r="17">
      <c r="A17" t="str">
        <v>Proveedor de prueba E</v>
      </c>
      <c r="B17" s="1">
        <f>SIGN(B9-F5)</f>
        <v>1</v>
      </c>
      <c r="C17" s="1">
        <f>SIGN(C9-F6)</f>
        <v>1</v>
      </c>
      <c r="D17" s="1">
        <f>SIGN(D9-F7)</f>
        <v>1</v>
      </c>
      <c r="E17" s="1">
        <f>SIGN(E9-F8)</f>
        <v>1</v>
      </c>
      <c r="G17" s="1">
        <f>COUNTIF(B17:F17,1)</f>
        <v>4</v>
      </c>
      <c r="H17" s="1">
        <f>COUNTIF(B17:F17,-1)</f>
        <v>0</v>
      </c>
      <c r="I17" s="1">
        <f>G17-H17</f>
        <v>4</v>
      </c>
      <c r="J17" s="1">
        <f>RANK(I17,$I$13:$I$17,0)</f>
        <v>1</v>
      </c>
    </row>
    <row r="19">
      <c r="A19" t="str">
        <v>Una alternativa domina a otra si queda mejor ubicada en más métodos. La posición final ordena por pares ganados menos pares perdidos.</v>
      </c>
    </row>
    <row r="20">
      <c r="A20" t="str">
        <v>No hay razonamiento circular: el orden final respeta todas las comparaciones por pares.</v>
      </c>
    </row>
  </sheetData>
  <hyperlinks>
    <hyperlink ref="A2" location="'Menu'!A1" tooltip="Ir al menú"/>
  </hyperlinks>
  <ignoredErrors>
    <ignoredError numberStoredAsText="1" sqref="A1:J2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52.83203125" customWidth="1"/>
    <col min="2" max="2" width="30.83203125" customWidth="1"/>
    <col min="3" max="3" width="18.83203125" customWidth="1"/>
    <col min="4" max="4" width="18.83203125" customWidth="1"/>
    <col min="5" max="5" width="18.83203125" customWidth="1"/>
    <col min="6" max="6" width="14.83203125" customWidth="1"/>
    <col min="7" max="7" width="18.83203125" customWidth="1"/>
  </cols>
  <sheetData>
    <row r="1">
      <c r="A1" t="str">
        <v>Resultado de la decisión</v>
      </c>
    </row>
    <row r="2">
      <c r="A2" t="str">
        <v>Volver al menú</v>
      </c>
    </row>
    <row r="4">
      <c r="A4" t="str">
        <v>A. Clasificación final</v>
      </c>
    </row>
    <row r="5">
      <c r="A5" t="str">
        <v>Posición final (dominancia)</v>
      </c>
      <c r="B5" t="str">
        <v>Alternativa</v>
      </c>
      <c r="C5" t="str">
        <v>Sistema de razones</v>
      </c>
      <c r="D5" t="str">
        <v>Punto de referencia</v>
      </c>
      <c r="E5" t="str">
        <v>Forma multiplicativa</v>
      </c>
      <c r="F5" t="str">
        <v>Suma de Borda</v>
      </c>
      <c r="G5" t="str">
        <v>Posición por Borda</v>
      </c>
    </row>
    <row r="6">
      <c r="A6" s="1">
        <f>'Dominancia'!J17</f>
        <v>1</v>
      </c>
      <c r="B6" t="str">
        <v>Proveedor de prueba E</v>
      </c>
      <c r="C6" s="1">
        <f>'Razones'!H10</f>
        <v>1</v>
      </c>
      <c r="D6" s="1">
        <f>'Referencia'!H11</f>
        <v>1</v>
      </c>
      <c r="E6" s="1">
        <f>'Multiplicativa'!H10</f>
        <v>2</v>
      </c>
      <c r="F6" s="1">
        <f>SUM(C6:E6)</f>
        <v>4</v>
      </c>
      <c r="G6" s="1">
        <f>RANK(F6,$F$6:$F$10,1)</f>
        <v>1</v>
      </c>
    </row>
    <row r="7">
      <c r="A7" s="1">
        <f>'Dominancia'!J15</f>
        <v>2</v>
      </c>
      <c r="B7" t="str">
        <v>Proveedor de prueba C</v>
      </c>
      <c r="C7" s="1">
        <f>'Razones'!H8</f>
        <v>2</v>
      </c>
      <c r="D7" s="1">
        <f>'Referencia'!H9</f>
        <v>2</v>
      </c>
      <c r="E7" s="1">
        <f>'Multiplicativa'!H8</f>
        <v>1</v>
      </c>
      <c r="F7" s="1">
        <f>SUM(C7:E7)</f>
        <v>5</v>
      </c>
      <c r="G7" s="1">
        <f>RANK(F7,$F$6:$F$10,1)</f>
        <v>2</v>
      </c>
    </row>
    <row r="8">
      <c r="A8" s="1">
        <f>'Dominancia'!J13</f>
        <v>3</v>
      </c>
      <c r="B8" t="str">
        <v>Proveedor de prueba A</v>
      </c>
      <c r="C8" s="1">
        <f>'Razones'!H6</f>
        <v>3</v>
      </c>
      <c r="D8" s="1">
        <f>'Referencia'!H7</f>
        <v>3</v>
      </c>
      <c r="E8" s="1">
        <f>'Multiplicativa'!H6</f>
        <v>3</v>
      </c>
      <c r="F8" s="1">
        <f>SUM(C8:E8)</f>
        <v>9</v>
      </c>
      <c r="G8" s="1">
        <f>RANK(F8,$F$6:$F$10,1)</f>
        <v>3</v>
      </c>
    </row>
    <row r="9">
      <c r="A9" s="1">
        <f>'Dominancia'!J14</f>
        <v>4</v>
      </c>
      <c r="B9" t="str">
        <v>Proveedor de prueba B</v>
      </c>
      <c r="C9" s="1">
        <f>'Razones'!H7</f>
        <v>4</v>
      </c>
      <c r="D9" s="1">
        <f>'Referencia'!H8</f>
        <v>4</v>
      </c>
      <c r="E9" s="1">
        <f>'Multiplicativa'!H7</f>
        <v>4</v>
      </c>
      <c r="F9" s="1">
        <f>SUM(C9:E9)</f>
        <v>12</v>
      </c>
      <c r="G9" s="1">
        <f>RANK(F9,$F$6:$F$10,1)</f>
        <v>4</v>
      </c>
    </row>
    <row r="10">
      <c r="A10" s="1">
        <f>'Dominancia'!J16</f>
        <v>5</v>
      </c>
      <c r="B10" t="str">
        <v>Proveedor de prueba D</v>
      </c>
      <c r="C10" s="1">
        <f>'Razones'!H9</f>
        <v>5</v>
      </c>
      <c r="D10" s="1">
        <f>'Referencia'!H10</f>
        <v>5</v>
      </c>
      <c r="E10" s="1">
        <f>'Multiplicativa'!H9</f>
        <v>5</v>
      </c>
      <c r="F10" s="1">
        <f>SUM(C10:E10)</f>
        <v>15</v>
      </c>
      <c r="G10" s="1">
        <f>RANK(F10,$F$6:$F$10,1)</f>
        <v>5</v>
      </c>
    </row>
    <row r="12">
      <c r="A12" t="str">
        <v>B. Indicadores de acuerdo entre métodos</v>
      </c>
    </row>
    <row r="13">
      <c r="A13" t="str">
        <v>Indicador</v>
      </c>
      <c r="B13" t="str">
        <v>Valor</v>
      </c>
    </row>
    <row r="14">
      <c r="A14" t="str">
        <v>Métodos que ubican primera a la ganadora (de 3)</v>
      </c>
      <c r="B14" s="1">
        <v>2</v>
      </c>
    </row>
    <row r="15">
      <c r="A15" t="str">
        <v>Los tres métodos producen el mismo orden</v>
      </c>
      <c r="B15" t="str">
        <v>No</v>
      </c>
    </row>
    <row r="16">
      <c r="A16" t="str">
        <v>Borda confirma el primer lugar</v>
      </c>
      <c r="B16" t="str">
        <v>Sí</v>
      </c>
    </row>
    <row r="17">
      <c r="A17" t="str">
        <v>Posiciones que difieren entre dominancia y Borda</v>
      </c>
      <c r="B17" s="1">
        <v>0</v>
      </c>
    </row>
    <row r="18">
      <c r="A18" t="str">
        <v>Pares con razonamiento circular</v>
      </c>
      <c r="B18" s="1">
        <v>0</v>
      </c>
    </row>
    <row r="19">
      <c r="A19" t="str">
        <v>Correlación de posiciones: Sistema de razones y Punto de referencia</v>
      </c>
      <c r="B19" s="4">
        <v>1</v>
      </c>
    </row>
    <row r="20">
      <c r="A20" t="str">
        <v>Correlación de posiciones: Sistema de razones y Forma multiplicativa</v>
      </c>
      <c r="B20" s="4">
        <v>0.9</v>
      </c>
    </row>
    <row r="21">
      <c r="A21" t="str">
        <v>Correlación de posiciones: Punto de referencia y Forma multiplicativa</v>
      </c>
      <c r="B21" s="4">
        <v>0.9</v>
      </c>
    </row>
    <row r="23">
      <c r="A23" t="str">
        <v>La clasificación se ordenó con los datos del momento de la exportación. Si cambia datos o pesos, las posiciones se recalculan, pero las filas no se reordenan.</v>
      </c>
    </row>
    <row r="24">
      <c r="A24" t="str">
        <v>Datos de prueba generados por la aplicación; son ficticios.</v>
      </c>
    </row>
  </sheetData>
  <hyperlinks>
    <hyperlink ref="A2" location="'Menu'!A1" tooltip="Ir al menú"/>
  </hyperlinks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Menu</vt:lpstr>
      <vt:lpstr>Criterios</vt:lpstr>
      <vt:lpstr>Entropia</vt:lpstr>
      <vt:lpstr>Matriz</vt:lpstr>
      <vt:lpstr>Normalizacion</vt:lpstr>
      <vt:lpstr>Razones</vt:lpstr>
      <vt:lpstr>Referencia</vt:lpstr>
      <vt:lpstr>Multiplicativa</vt:lpstr>
      <vt:lpstr>Dominancia</vt:lpstr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Sergio Gómez Rueda</dc:creator>
  <dc:description>Este aplicativo fue desarrollado por Mario Sergio Gómez Rueda. Su uso es de carácter académico y cualquier otro uso se regirá por el derecho de la propiedad intelectual. Sugerencias o dudas: mgomezr1@gmail.com</dc:description>
  <dc:title>Sýnthesis MULTIMOORA: resultados</dc:title>
</cp:coreProperties>
</file>